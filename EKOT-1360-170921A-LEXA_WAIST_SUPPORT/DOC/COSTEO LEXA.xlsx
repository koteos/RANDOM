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EN" sheetId="1" r:id="rId4"/>
    <sheet state="visible" name="MATERIAL" sheetId="2" r:id="rId5"/>
    <sheet state="visible" name="FABRICACIÓN" sheetId="3" r:id="rId6"/>
    <sheet state="visible" name="DISEÑO" sheetId="4" r:id="rId7"/>
    <sheet state="visible" name="ENSAMBLE" sheetId="5" r:id="rId8"/>
  </sheets>
  <definedNames/>
  <calcPr/>
</workbook>
</file>

<file path=xl/sharedStrings.xml><?xml version="1.0" encoding="utf-8"?>
<sst xmlns="http://schemas.openxmlformats.org/spreadsheetml/2006/main" count="96" uniqueCount="55">
  <si>
    <t>COSTOS LEXA 1069 Y 1360</t>
  </si>
  <si>
    <t>CONCEPTO</t>
  </si>
  <si>
    <t>MONTO</t>
  </si>
  <si>
    <t>MATERIAL</t>
  </si>
  <si>
    <t>FABRICACION</t>
  </si>
  <si>
    <t>DISEÑO (R&amp;D)</t>
  </si>
  <si>
    <t>ENSAMBLE (R&amp;D)</t>
  </si>
  <si>
    <t>MONTAJE</t>
  </si>
  <si>
    <t>GASTOS</t>
  </si>
  <si>
    <t>COVID</t>
  </si>
  <si>
    <t>EPP</t>
  </si>
  <si>
    <t>TOTAL</t>
  </si>
  <si>
    <t>FECHA</t>
  </si>
  <si>
    <t>A FAVOR DE</t>
  </si>
  <si>
    <t>ROD</t>
  </si>
  <si>
    <t>COMPONENTES GUITARRA EXO</t>
  </si>
  <si>
    <t>IGUS</t>
  </si>
  <si>
    <t>MISUMI</t>
  </si>
  <si>
    <t>AMAZON</t>
  </si>
  <si>
    <t>TENSOR DE ALAMBRE M5</t>
  </si>
  <si>
    <t>COMEX</t>
  </si>
  <si>
    <t>LATAS PINTURA SPRAY NEGRO,TRANSPARENTE, AZUL CIELO</t>
  </si>
  <si>
    <t>RESORTES</t>
  </si>
  <si>
    <t>RESORTES TENSOR 6</t>
  </si>
  <si>
    <t>FERRETERIA</t>
  </si>
  <si>
    <t>CABLE ACERO</t>
  </si>
  <si>
    <t>PERROS PARA CABLE</t>
  </si>
  <si>
    <t>TUERCAS MARIPOSAS</t>
  </si>
  <si>
    <t>RAM</t>
  </si>
  <si>
    <t>TORLLERÍA</t>
  </si>
  <si>
    <t>PINTURAS Y MUROS</t>
  </si>
  <si>
    <t>ESTOPA</t>
  </si>
  <si>
    <t>RETENES Y BALEROS</t>
  </si>
  <si>
    <t>ROTULA GE12E</t>
  </si>
  <si>
    <t>LBO</t>
  </si>
  <si>
    <t>SOLERA 6063 T-5 3.18X50.8MM</t>
  </si>
  <si>
    <t>FABRICACIÓN</t>
  </si>
  <si>
    <t>DANIELA</t>
  </si>
  <si>
    <t>50% CHALECO ANTICIPO</t>
  </si>
  <si>
    <t>MIPSA</t>
  </si>
  <si>
    <t>CORTE LASER</t>
  </si>
  <si>
    <t>50% CHALECO FINIQUITO</t>
  </si>
  <si>
    <t>FENIX</t>
  </si>
  <si>
    <t>PRE21_202</t>
  </si>
  <si>
    <t>COT 301648</t>
  </si>
  <si>
    <t>COT 301808</t>
  </si>
  <si>
    <t>ERNESTO ASYS</t>
  </si>
  <si>
    <t>ANTICIPO</t>
  </si>
  <si>
    <t>FINIQUITO</t>
  </si>
  <si>
    <t>HORAS</t>
  </si>
  <si>
    <t>SEM 34 Y 35 2021</t>
  </si>
  <si>
    <t>ANTONIO</t>
  </si>
  <si>
    <t>MARIO</t>
  </si>
  <si>
    <t>MARCO</t>
  </si>
  <si>
    <t>JOSE 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</si>
</sst>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;[Red]\-&quot;$&quot;#,##0.00"/>
  </numFmts>
  <fonts count="7">
    <font>
      <sz val="11.0"/>
      <color theme="1"/>
      <name val="Calibri"/>
      <scheme val="minor"/>
    </font>
    <font>
      <sz val="11.0"/>
      <color theme="1"/>
      <name val="Calibri"/>
    </font>
    <font>
      <sz val="26.0"/>
      <color theme="1"/>
      <name val="Calibri"/>
    </font>
    <font>
      <color theme="1"/>
      <name val="Calibri"/>
      <scheme val="minor"/>
    </font>
    <font>
      <sz val="22.0"/>
      <color theme="1"/>
      <name val="Calibri"/>
    </font>
    <font>
      <sz val="11.0"/>
      <color rgb="FF000000"/>
      <name val="Calibri"/>
    </font>
    <font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2E75B5"/>
        <bgColor rgb="FF2E75B5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vertical="center"/>
    </xf>
    <xf borderId="0" fillId="0" fontId="3" numFmtId="0" xfId="0" applyFont="1"/>
    <xf borderId="0" fillId="0" fontId="1" numFmtId="164" xfId="0" applyFont="1" applyNumberFormat="1"/>
    <xf borderId="0" fillId="0" fontId="4" numFmtId="0" xfId="0" applyAlignment="1" applyFont="1">
      <alignment horizontal="center" vertical="center"/>
    </xf>
    <xf borderId="1" fillId="2" fontId="5" numFmtId="0" xfId="0" applyAlignment="1" applyBorder="1" applyFill="1" applyFont="1">
      <alignment shrinkToFit="0" wrapText="1"/>
    </xf>
    <xf borderId="1" fillId="2" fontId="5" numFmtId="0" xfId="0" applyBorder="1" applyFont="1"/>
    <xf borderId="1" fillId="0" fontId="5" numFmtId="15" xfId="0" applyAlignment="1" applyBorder="1" applyFont="1" applyNumberFormat="1">
      <alignment horizontal="right" shrinkToFit="0" vertical="top" wrapText="1"/>
    </xf>
    <xf borderId="1" fillId="0" fontId="5" numFmtId="0" xfId="0" applyAlignment="1" applyBorder="1" applyFont="1">
      <alignment shrinkToFit="0" vertical="top" wrapText="1"/>
    </xf>
    <xf borderId="1" fillId="0" fontId="5" numFmtId="164" xfId="0" applyAlignment="1" applyBorder="1" applyFont="1" applyNumberFormat="1">
      <alignment horizontal="right" shrinkToFit="0" vertical="top" wrapText="1"/>
    </xf>
    <xf borderId="1" fillId="0" fontId="5" numFmtId="15" xfId="0" applyAlignment="1" applyBorder="1" applyFont="1" applyNumberFormat="1">
      <alignment shrinkToFit="0" vertical="top" wrapText="1"/>
    </xf>
    <xf borderId="1" fillId="0" fontId="6" numFmtId="164" xfId="0" applyAlignment="1" applyBorder="1" applyFont="1" applyNumberFormat="1">
      <alignment horizontal="right" shrinkToFit="0" vertical="top" wrapText="1"/>
    </xf>
    <xf borderId="1" fillId="3" fontId="5" numFmtId="0" xfId="0" applyAlignment="1" applyBorder="1" applyFill="1" applyFont="1">
      <alignment shrinkToFit="0" wrapText="1"/>
    </xf>
    <xf borderId="1" fillId="3" fontId="1" numFmtId="164" xfId="0" applyBorder="1" applyFont="1" applyNumberFormat="1"/>
    <xf borderId="1" fillId="0" fontId="5" numFmtId="15" xfId="0" applyAlignment="1" applyBorder="1" applyFont="1" applyNumberFormat="1">
      <alignment horizontal="right" shrinkToFit="0" wrapText="1"/>
    </xf>
    <xf borderId="1" fillId="0" fontId="5" numFmtId="0" xfId="0" applyAlignment="1" applyBorder="1" applyFont="1">
      <alignment shrinkToFit="0" wrapText="1"/>
    </xf>
    <xf borderId="1" fillId="0" fontId="5" numFmtId="164" xfId="0" applyAlignment="1" applyBorder="1" applyFont="1" applyNumberFormat="1">
      <alignment horizontal="right" shrinkToFit="0" wrapText="1"/>
    </xf>
    <xf borderId="1" fillId="0" fontId="5" numFmtId="15" xfId="0" applyAlignment="1" applyBorder="1" applyFont="1" applyNumberFormat="1">
      <alignment shrinkToFit="0" wrapText="1"/>
    </xf>
    <xf borderId="1" fillId="0" fontId="5" numFmtId="0" xfId="0" applyAlignment="1" applyBorder="1" applyFont="1">
      <alignment horizontal="right" shrinkToFit="0" vertical="top" wrapText="1"/>
    </xf>
    <xf borderId="1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190500</xdr:colOff>
      <xdr:row>0</xdr:row>
      <xdr:rowOff>28575</xdr:rowOff>
    </xdr:from>
    <xdr:ext cx="2571750" cy="7334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257175</xdr:colOff>
      <xdr:row>0</xdr:row>
      <xdr:rowOff>28575</xdr:rowOff>
    </xdr:from>
    <xdr:ext cx="2152650" cy="6000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257175</xdr:colOff>
      <xdr:row>0</xdr:row>
      <xdr:rowOff>28575</xdr:rowOff>
    </xdr:from>
    <xdr:ext cx="2152650" cy="6000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257175</xdr:colOff>
      <xdr:row>0</xdr:row>
      <xdr:rowOff>28575</xdr:rowOff>
    </xdr:from>
    <xdr:ext cx="2152650" cy="6000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257175</xdr:colOff>
      <xdr:row>0</xdr:row>
      <xdr:rowOff>28575</xdr:rowOff>
    </xdr:from>
    <xdr:ext cx="1838325" cy="5238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29"/>
    <col customWidth="1" min="2" max="26" width="10.71"/>
  </cols>
  <sheetData>
    <row r="1">
      <c r="A1" s="1"/>
      <c r="E1" s="2" t="s">
        <v>0</v>
      </c>
    </row>
    <row r="6">
      <c r="A6" s="3" t="s">
        <v>1</v>
      </c>
      <c r="B6" s="3" t="s">
        <v>2</v>
      </c>
    </row>
    <row r="7">
      <c r="A7" s="3" t="s">
        <v>3</v>
      </c>
      <c r="B7" s="4">
        <f>MATERIAL!D22</f>
        <v>7720.87</v>
      </c>
    </row>
    <row r="8">
      <c r="A8" s="3" t="s">
        <v>4</v>
      </c>
      <c r="B8" s="4">
        <f>'FABRICACIÓN'!D22</f>
        <v>21561.24</v>
      </c>
    </row>
    <row r="9">
      <c r="A9" s="3" t="s">
        <v>5</v>
      </c>
      <c r="B9" s="4">
        <f>'DISEÑO'!D22</f>
        <v>42531.5</v>
      </c>
    </row>
    <row r="10">
      <c r="A10" s="3" t="s">
        <v>6</v>
      </c>
      <c r="B10" s="4">
        <f>ENSAMBLE!D22</f>
        <v>81092</v>
      </c>
    </row>
    <row r="11">
      <c r="A11" s="3" t="s">
        <v>7</v>
      </c>
    </row>
    <row r="12">
      <c r="A12" s="3" t="s">
        <v>8</v>
      </c>
    </row>
    <row r="13">
      <c r="A13" s="3" t="s">
        <v>9</v>
      </c>
    </row>
    <row r="14">
      <c r="A14" s="3" t="s">
        <v>10</v>
      </c>
    </row>
    <row r="15">
      <c r="A15" s="3" t="s">
        <v>11</v>
      </c>
      <c r="B15" s="4">
        <f>SUM(B7:B14)</f>
        <v>152905.61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D4"/>
    <mergeCell ref="E1:J4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4.43"/>
    <col customWidth="1" min="3" max="3" width="16.71"/>
    <col customWidth="1" min="4" max="26" width="10.71"/>
  </cols>
  <sheetData>
    <row r="1">
      <c r="A1" s="1"/>
      <c r="D1" s="5" t="s">
        <v>3</v>
      </c>
    </row>
    <row r="3" ht="19.5" customHeight="1"/>
    <row r="5" ht="13.5" customHeight="1"/>
    <row r="7" ht="16.5" customHeight="1">
      <c r="A7" s="6" t="s">
        <v>12</v>
      </c>
      <c r="B7" s="7" t="s">
        <v>13</v>
      </c>
      <c r="C7" s="6" t="s">
        <v>1</v>
      </c>
      <c r="D7" s="6" t="s">
        <v>2</v>
      </c>
    </row>
    <row r="8">
      <c r="A8" s="8">
        <v>44427.0</v>
      </c>
      <c r="B8" s="9" t="s">
        <v>14</v>
      </c>
      <c r="C8" s="9" t="s">
        <v>3</v>
      </c>
      <c r="D8" s="10">
        <v>208.0</v>
      </c>
    </row>
    <row r="9">
      <c r="A9" s="8">
        <v>44434.0</v>
      </c>
      <c r="B9" s="9" t="s">
        <v>14</v>
      </c>
      <c r="C9" s="9" t="s">
        <v>15</v>
      </c>
      <c r="D9" s="10">
        <v>275.0</v>
      </c>
    </row>
    <row r="10">
      <c r="A10" s="8">
        <v>44434.0</v>
      </c>
      <c r="B10" s="9" t="s">
        <v>16</v>
      </c>
      <c r="C10" s="9" t="s">
        <v>3</v>
      </c>
      <c r="D10" s="10">
        <v>4994.22</v>
      </c>
    </row>
    <row r="11">
      <c r="A11" s="8">
        <v>44435.0</v>
      </c>
      <c r="B11" s="9" t="s">
        <v>17</v>
      </c>
      <c r="C11" s="9" t="s">
        <v>3</v>
      </c>
      <c r="D11" s="10">
        <v>1082.97</v>
      </c>
    </row>
    <row r="12">
      <c r="A12" s="11">
        <v>44448.0</v>
      </c>
      <c r="B12" s="9" t="s">
        <v>18</v>
      </c>
      <c r="C12" s="9" t="s">
        <v>19</v>
      </c>
      <c r="D12" s="12">
        <v>242.5</v>
      </c>
    </row>
    <row r="13" ht="73.5" customHeight="1">
      <c r="A13" s="11">
        <v>44448.0</v>
      </c>
      <c r="B13" s="9" t="s">
        <v>20</v>
      </c>
      <c r="C13" s="9" t="s">
        <v>21</v>
      </c>
      <c r="D13" s="10">
        <v>267.0</v>
      </c>
    </row>
    <row r="14">
      <c r="A14" s="11">
        <v>44449.0</v>
      </c>
      <c r="B14" s="9" t="s">
        <v>22</v>
      </c>
      <c r="C14" s="9" t="s">
        <v>23</v>
      </c>
      <c r="D14" s="10">
        <v>90.0</v>
      </c>
    </row>
    <row r="15">
      <c r="A15" s="11">
        <v>44449.0</v>
      </c>
      <c r="B15" s="9" t="s">
        <v>24</v>
      </c>
      <c r="C15" s="9" t="s">
        <v>25</v>
      </c>
      <c r="D15" s="10">
        <v>33.0</v>
      </c>
    </row>
    <row r="16">
      <c r="A16" s="11">
        <v>44449.0</v>
      </c>
      <c r="B16" s="9" t="s">
        <v>24</v>
      </c>
      <c r="C16" s="9" t="s">
        <v>26</v>
      </c>
      <c r="D16" s="10">
        <v>84.0</v>
      </c>
    </row>
    <row r="17">
      <c r="A17" s="11">
        <v>44449.0</v>
      </c>
      <c r="B17" s="9" t="s">
        <v>24</v>
      </c>
      <c r="C17" s="9" t="s">
        <v>27</v>
      </c>
      <c r="D17" s="10">
        <v>100.0</v>
      </c>
    </row>
    <row r="18">
      <c r="A18" s="11">
        <v>44467.0</v>
      </c>
      <c r="B18" s="9" t="s">
        <v>28</v>
      </c>
      <c r="C18" s="9" t="s">
        <v>29</v>
      </c>
      <c r="D18" s="10">
        <v>149.0</v>
      </c>
    </row>
    <row r="19">
      <c r="A19" s="11">
        <v>44467.0</v>
      </c>
      <c r="B19" s="9" t="s">
        <v>30</v>
      </c>
      <c r="C19" s="9" t="s">
        <v>31</v>
      </c>
      <c r="D19" s="10">
        <v>26.0</v>
      </c>
    </row>
    <row r="20">
      <c r="A20" s="11">
        <v>44467.0</v>
      </c>
      <c r="B20" s="9" t="s">
        <v>32</v>
      </c>
      <c r="C20" s="9" t="s">
        <v>33</v>
      </c>
      <c r="D20" s="10">
        <v>45.0</v>
      </c>
    </row>
    <row r="21" ht="15.75" customHeight="1">
      <c r="A21" s="11">
        <v>44467.0</v>
      </c>
      <c r="B21" s="9" t="s">
        <v>34</v>
      </c>
      <c r="C21" s="9" t="s">
        <v>35</v>
      </c>
      <c r="D21" s="10">
        <v>124.18</v>
      </c>
    </row>
    <row r="22" ht="15.75" customHeight="1">
      <c r="C22" s="13" t="s">
        <v>11</v>
      </c>
      <c r="D22" s="14">
        <f>SUM(D8:D21)</f>
        <v>7720.87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C3"/>
    <mergeCell ref="D1:G3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4.43"/>
    <col customWidth="1" min="3" max="3" width="16.71"/>
    <col customWidth="1" min="4" max="26" width="10.71"/>
  </cols>
  <sheetData>
    <row r="1">
      <c r="A1" s="1"/>
      <c r="D1" s="5" t="s">
        <v>36</v>
      </c>
    </row>
    <row r="3" ht="19.5" customHeight="1"/>
    <row r="5" ht="13.5" customHeight="1"/>
    <row r="7" ht="16.5" customHeight="1">
      <c r="A7" s="6" t="s">
        <v>12</v>
      </c>
      <c r="B7" s="7" t="s">
        <v>13</v>
      </c>
      <c r="C7" s="6" t="s">
        <v>1</v>
      </c>
      <c r="D7" s="6" t="s">
        <v>2</v>
      </c>
    </row>
    <row r="8">
      <c r="A8" s="8">
        <v>44433.0</v>
      </c>
      <c r="B8" s="9" t="s">
        <v>37</v>
      </c>
      <c r="C8" s="9" t="s">
        <v>38</v>
      </c>
      <c r="D8" s="10">
        <v>1000.0</v>
      </c>
    </row>
    <row r="9">
      <c r="A9" s="15">
        <v>44435.0</v>
      </c>
      <c r="B9" s="16" t="s">
        <v>39</v>
      </c>
      <c r="C9" s="16" t="s">
        <v>40</v>
      </c>
      <c r="D9" s="17">
        <v>3593.68</v>
      </c>
    </row>
    <row r="10">
      <c r="A10" s="8">
        <v>44440.0</v>
      </c>
      <c r="B10" s="9" t="s">
        <v>37</v>
      </c>
      <c r="C10" s="9" t="s">
        <v>41</v>
      </c>
      <c r="D10" s="10">
        <v>1000.0</v>
      </c>
    </row>
    <row r="11">
      <c r="A11" s="8">
        <v>44453.0</v>
      </c>
      <c r="B11" s="9" t="s">
        <v>42</v>
      </c>
      <c r="C11" s="9" t="s">
        <v>43</v>
      </c>
      <c r="D11" s="10">
        <v>500.0</v>
      </c>
    </row>
    <row r="12">
      <c r="A12" s="11">
        <v>44449.0</v>
      </c>
      <c r="B12" s="9" t="s">
        <v>39</v>
      </c>
      <c r="C12" s="9" t="s">
        <v>44</v>
      </c>
      <c r="D12" s="12">
        <v>1167.0</v>
      </c>
    </row>
    <row r="13" ht="13.5" customHeight="1">
      <c r="A13" s="11">
        <v>44459.0</v>
      </c>
      <c r="B13" s="9" t="s">
        <v>39</v>
      </c>
      <c r="C13" s="9" t="s">
        <v>45</v>
      </c>
      <c r="D13" s="10">
        <v>540.56</v>
      </c>
    </row>
    <row r="14">
      <c r="A14" s="11">
        <v>44445.0</v>
      </c>
      <c r="B14" s="9" t="s">
        <v>46</v>
      </c>
      <c r="C14" s="9" t="s">
        <v>47</v>
      </c>
      <c r="D14" s="10">
        <v>5000.0</v>
      </c>
    </row>
    <row r="15">
      <c r="A15" s="11"/>
      <c r="B15" s="9" t="s">
        <v>46</v>
      </c>
      <c r="C15" s="9" t="s">
        <v>48</v>
      </c>
      <c r="D15" s="10">
        <v>8760.0</v>
      </c>
    </row>
    <row r="16">
      <c r="A16" s="18"/>
      <c r="B16" s="16"/>
      <c r="C16" s="16"/>
      <c r="D16" s="17"/>
    </row>
    <row r="17">
      <c r="A17" s="18"/>
      <c r="B17" s="16"/>
      <c r="C17" s="16"/>
      <c r="D17" s="17"/>
    </row>
    <row r="18">
      <c r="A18" s="18"/>
      <c r="B18" s="16"/>
      <c r="C18" s="16"/>
      <c r="D18" s="17"/>
    </row>
    <row r="19">
      <c r="A19" s="18"/>
      <c r="B19" s="16"/>
      <c r="C19" s="16"/>
      <c r="D19" s="17"/>
    </row>
    <row r="20">
      <c r="A20" s="18"/>
      <c r="B20" s="16"/>
      <c r="C20" s="16"/>
      <c r="D20" s="17"/>
    </row>
    <row r="21" ht="15.75" customHeight="1">
      <c r="A21" s="18"/>
      <c r="B21" s="16"/>
      <c r="C21" s="16"/>
      <c r="D21" s="17"/>
    </row>
    <row r="22" ht="15.75" customHeight="1">
      <c r="C22" s="13" t="s">
        <v>11</v>
      </c>
      <c r="D22" s="14">
        <f>SUM(D8:D21)</f>
        <v>21561.24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C3"/>
    <mergeCell ref="D1:G3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4.43"/>
    <col customWidth="1" min="3" max="3" width="16.71"/>
    <col customWidth="1" min="4" max="26" width="10.71"/>
  </cols>
  <sheetData>
    <row r="1">
      <c r="A1" s="1"/>
      <c r="D1" s="5" t="s">
        <v>36</v>
      </c>
    </row>
    <row r="3" ht="19.5" customHeight="1"/>
    <row r="5" ht="13.5" customHeight="1"/>
    <row r="7" ht="16.5" customHeight="1">
      <c r="A7" s="6" t="s">
        <v>12</v>
      </c>
      <c r="B7" s="7" t="s">
        <v>13</v>
      </c>
      <c r="C7" s="6" t="s">
        <v>49</v>
      </c>
      <c r="D7" s="6" t="s">
        <v>2</v>
      </c>
    </row>
    <row r="8">
      <c r="A8" s="8" t="s">
        <v>50</v>
      </c>
      <c r="B8" s="9" t="s">
        <v>51</v>
      </c>
      <c r="C8" s="9">
        <v>56.0</v>
      </c>
      <c r="D8" s="10">
        <v>11704.0</v>
      </c>
    </row>
    <row r="9">
      <c r="A9" s="15">
        <v>44428.0</v>
      </c>
      <c r="B9" s="16" t="s">
        <v>52</v>
      </c>
      <c r="C9" s="16">
        <v>4.0</v>
      </c>
      <c r="D9" s="17">
        <v>836.0</v>
      </c>
      <c r="G9" s="4"/>
    </row>
    <row r="10">
      <c r="A10" s="8">
        <v>44431.0</v>
      </c>
      <c r="B10" s="9" t="s">
        <v>52</v>
      </c>
      <c r="C10" s="9">
        <v>9.5</v>
      </c>
      <c r="D10" s="10">
        <v>1985.5</v>
      </c>
    </row>
    <row r="11">
      <c r="A11" s="8">
        <v>44432.0</v>
      </c>
      <c r="B11" s="9" t="s">
        <v>52</v>
      </c>
      <c r="C11" s="9">
        <v>9.0</v>
      </c>
      <c r="D11" s="10">
        <v>1881.0</v>
      </c>
      <c r="G11" s="4"/>
    </row>
    <row r="12">
      <c r="A12" s="11">
        <v>44433.0</v>
      </c>
      <c r="B12" s="9" t="s">
        <v>52</v>
      </c>
      <c r="C12" s="9">
        <v>9.0</v>
      </c>
      <c r="D12" s="12">
        <v>1881.0</v>
      </c>
      <c r="G12" s="4"/>
    </row>
    <row r="13" ht="13.5" customHeight="1">
      <c r="A13" s="11">
        <v>44434.0</v>
      </c>
      <c r="B13" s="9" t="s">
        <v>52</v>
      </c>
      <c r="C13" s="9">
        <v>9.0</v>
      </c>
      <c r="D13" s="10">
        <v>1881.0</v>
      </c>
      <c r="G13" s="4"/>
    </row>
    <row r="14">
      <c r="A14" s="11">
        <v>44435.0</v>
      </c>
      <c r="B14" s="9" t="s">
        <v>52</v>
      </c>
      <c r="C14" s="9">
        <v>9.0</v>
      </c>
      <c r="D14" s="10">
        <v>1881.0</v>
      </c>
    </row>
    <row r="15">
      <c r="A15" s="11">
        <v>44438.0</v>
      </c>
      <c r="B15" s="9" t="s">
        <v>52</v>
      </c>
      <c r="C15" s="9">
        <v>3.0</v>
      </c>
      <c r="D15" s="10">
        <v>627.0</v>
      </c>
    </row>
    <row r="16">
      <c r="A16" s="18">
        <v>44439.0</v>
      </c>
      <c r="B16" s="16" t="s">
        <v>52</v>
      </c>
      <c r="C16" s="16">
        <v>9.0</v>
      </c>
      <c r="D16" s="17">
        <v>1881.0</v>
      </c>
    </row>
    <row r="17">
      <c r="A17" s="16">
        <v>2021.0</v>
      </c>
      <c r="B17" s="16" t="s">
        <v>53</v>
      </c>
      <c r="C17" s="16">
        <v>56.0</v>
      </c>
      <c r="D17" s="17">
        <v>11704.0</v>
      </c>
    </row>
    <row r="18">
      <c r="A18" s="16">
        <v>2021.0</v>
      </c>
      <c r="B18" s="16" t="s">
        <v>54</v>
      </c>
      <c r="C18" s="16">
        <v>30.0</v>
      </c>
      <c r="D18" s="17">
        <f>209*C18</f>
        <v>6270</v>
      </c>
    </row>
    <row r="19">
      <c r="A19" s="18"/>
      <c r="B19" s="16"/>
      <c r="C19" s="16"/>
      <c r="D19" s="17"/>
    </row>
    <row r="20">
      <c r="A20" s="18"/>
      <c r="B20" s="16"/>
      <c r="C20" s="16"/>
      <c r="D20" s="17"/>
    </row>
    <row r="21" ht="15.75" customHeight="1">
      <c r="A21" s="18"/>
      <c r="B21" s="16"/>
      <c r="C21" s="16"/>
      <c r="D21" s="17"/>
    </row>
    <row r="22" ht="15.75" customHeight="1">
      <c r="C22" s="13" t="s">
        <v>11</v>
      </c>
      <c r="D22" s="14">
        <f>SUM(D8:D21)</f>
        <v>42531.5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C3"/>
    <mergeCell ref="D1:G3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/>
      <c r="D1" s="5" t="s">
        <v>36</v>
      </c>
    </row>
    <row r="7">
      <c r="A7" s="6" t="s">
        <v>12</v>
      </c>
      <c r="B7" s="7" t="s">
        <v>13</v>
      </c>
      <c r="C7" s="6" t="s">
        <v>49</v>
      </c>
      <c r="D7" s="6" t="s">
        <v>2</v>
      </c>
    </row>
    <row r="8">
      <c r="A8" s="19">
        <v>2021.0</v>
      </c>
      <c r="B8" s="9" t="s">
        <v>51</v>
      </c>
      <c r="C8" s="9">
        <v>110.0</v>
      </c>
      <c r="D8" s="17">
        <f t="shared" ref="D8:D11" si="1">209*C8</f>
        <v>22990</v>
      </c>
    </row>
    <row r="9">
      <c r="A9" s="19">
        <v>2021.0</v>
      </c>
      <c r="B9" s="16" t="s">
        <v>52</v>
      </c>
      <c r="C9" s="16">
        <v>115.0</v>
      </c>
      <c r="D9" s="17">
        <f t="shared" si="1"/>
        <v>24035</v>
      </c>
      <c r="G9" s="4"/>
    </row>
    <row r="10">
      <c r="A10" s="19">
        <v>2021.0</v>
      </c>
      <c r="B10" s="16" t="s">
        <v>53</v>
      </c>
      <c r="C10" s="16">
        <v>113.0</v>
      </c>
      <c r="D10" s="17">
        <f t="shared" si="1"/>
        <v>23617</v>
      </c>
    </row>
    <row r="11">
      <c r="A11" s="19">
        <v>2021.0</v>
      </c>
      <c r="B11" s="16" t="s">
        <v>54</v>
      </c>
      <c r="C11" s="16">
        <v>50.0</v>
      </c>
      <c r="D11" s="17">
        <f t="shared" si="1"/>
        <v>10450</v>
      </c>
      <c r="G11" s="4"/>
    </row>
    <row r="12">
      <c r="A12" s="11"/>
      <c r="B12" s="9"/>
      <c r="C12" s="9"/>
      <c r="D12" s="12"/>
      <c r="G12" s="4"/>
    </row>
    <row r="13">
      <c r="A13" s="11"/>
      <c r="B13" s="9"/>
      <c r="C13" s="9"/>
      <c r="D13" s="10"/>
      <c r="G13" s="4"/>
    </row>
    <row r="14">
      <c r="A14" s="11"/>
      <c r="B14" s="9"/>
      <c r="C14" s="9"/>
      <c r="D14" s="10"/>
    </row>
    <row r="15">
      <c r="A15" s="11"/>
      <c r="B15" s="9"/>
      <c r="C15" s="9"/>
      <c r="D15" s="10"/>
    </row>
    <row r="16">
      <c r="A16" s="18"/>
      <c r="B16" s="16"/>
      <c r="C16" s="16"/>
      <c r="D16" s="17"/>
    </row>
    <row r="17">
      <c r="A17" s="16"/>
      <c r="B17" s="20"/>
      <c r="C17" s="20"/>
      <c r="D17" s="20"/>
    </row>
    <row r="18">
      <c r="A18" s="16"/>
      <c r="B18" s="20"/>
      <c r="C18" s="20"/>
      <c r="D18" s="20"/>
    </row>
    <row r="19">
      <c r="A19" s="18"/>
      <c r="B19" s="16"/>
      <c r="C19" s="16"/>
      <c r="D19" s="17"/>
    </row>
    <row r="20">
      <c r="A20" s="18"/>
      <c r="B20" s="16"/>
      <c r="C20" s="16"/>
      <c r="D20" s="17"/>
    </row>
    <row r="21" ht="15.75" customHeight="1">
      <c r="A21" s="18"/>
      <c r="B21" s="16"/>
      <c r="C21" s="16"/>
      <c r="D21" s="17"/>
    </row>
    <row r="22" ht="15.75" customHeight="1">
      <c r="C22" s="13" t="s">
        <v>11</v>
      </c>
      <c r="D22" s="14">
        <f>SUM(D8:D21)</f>
        <v>81092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C3"/>
    <mergeCell ref="D1:G3"/>
  </mergeCells>
  <printOptions/>
  <pageMargins bottom="0.75" footer="0.0" header="0.0" left="0.7" right="0.7" top="0.75"/>
  <pageSetup orientation="landscape"/>
  <drawing r:id="rId1"/>
</worksheet>
</file>