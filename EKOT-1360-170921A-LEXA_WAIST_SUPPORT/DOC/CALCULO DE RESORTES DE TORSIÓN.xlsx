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KT-13\Documents\GrabCAD\I+D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F11" i="1"/>
  <c r="F13" i="1" s="1"/>
  <c r="F8" i="1" l="1"/>
  <c r="F7" i="1"/>
  <c r="B11" i="1"/>
  <c r="F9" i="1" l="1"/>
  <c r="E10" i="1" s="1"/>
</calcChain>
</file>

<file path=xl/sharedStrings.xml><?xml version="1.0" encoding="utf-8"?>
<sst xmlns="http://schemas.openxmlformats.org/spreadsheetml/2006/main" count="26" uniqueCount="20">
  <si>
    <r>
      <t xml:space="preserve">CALCULO DE RESORTES DE TORSIÓN (CUERDA PARA PIANO) </t>
    </r>
    <r>
      <rPr>
        <i/>
        <sz val="11"/>
        <color theme="1"/>
        <rFont val="Calibri"/>
        <family val="2"/>
        <scheme val="minor"/>
      </rPr>
      <t>conociendo F, R y determinando D y d</t>
    </r>
  </si>
  <si>
    <t>DATOS</t>
  </si>
  <si>
    <t>F (kgf)</t>
  </si>
  <si>
    <t>R (cm)</t>
  </si>
  <si>
    <t>D (mm)</t>
  </si>
  <si>
    <t>d (mm)</t>
  </si>
  <si>
    <t>RESULTADOS</t>
  </si>
  <si>
    <t>=</t>
  </si>
  <si>
    <t>Mmx.perm</t>
  </si>
  <si>
    <t>D/d</t>
  </si>
  <si>
    <r>
      <t>C (</t>
    </r>
    <r>
      <rPr>
        <i/>
        <sz val="11"/>
        <color theme="1"/>
        <rFont val="Calibri"/>
        <family val="2"/>
        <scheme val="minor"/>
      </rPr>
      <t>tabla)</t>
    </r>
  </si>
  <si>
    <t>n</t>
  </si>
  <si>
    <t xml:space="preserve">funciona </t>
  </si>
  <si>
    <t>si</t>
  </si>
  <si>
    <t>no</t>
  </si>
  <si>
    <t>Mmx.aplic</t>
  </si>
  <si>
    <t>K</t>
  </si>
  <si>
    <r>
      <t>N</t>
    </r>
    <r>
      <rPr>
        <i/>
        <sz val="9"/>
        <color theme="1"/>
        <rFont val="Calibri"/>
        <family val="2"/>
        <scheme val="minor"/>
      </rPr>
      <t xml:space="preserve"> establecido</t>
    </r>
  </si>
  <si>
    <t>ϴ</t>
  </si>
  <si>
    <t>ϴmx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</si>
</sst>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Border="1"/>
    <xf numFmtId="0" fontId="1" fillId="4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5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752475</xdr:colOff>
      <xdr:row>0</xdr:row>
      <xdr:rowOff>123826</xdr:rowOff>
    </xdr:from>
    <xdr:to>
      <xdr:col>15</xdr:col>
      <xdr:colOff>161925</xdr:colOff>
      <xdr:row>26</xdr:row>
      <xdr:rowOff>159468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0475" y="123826"/>
          <a:ext cx="3981450" cy="4779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L34" sqref="L34"/>
    </sheetView>
  </sheetViews>
  <sheetFormatPr baseColWidth="10" defaultRowHeight="15" x14ac:dyDescent="0.25"/>
  <cols>
    <col min="5" max="5" width="11.42578125" customWidth="1"/>
  </cols>
  <sheetData>
    <row r="1" spans="1:6" ht="15" customHeight="1" x14ac:dyDescent="0.25">
      <c r="A1" s="6" t="s">
        <v>0</v>
      </c>
      <c r="B1" s="6"/>
      <c r="C1" s="6"/>
      <c r="D1" s="6"/>
      <c r="E1" s="6"/>
    </row>
    <row r="2" spans="1:6" ht="15" customHeight="1" x14ac:dyDescent="0.25">
      <c r="A2" s="6"/>
      <c r="B2" s="6"/>
      <c r="C2" s="6"/>
      <c r="D2" s="6"/>
      <c r="E2" s="6"/>
    </row>
    <row r="3" spans="1:6" x14ac:dyDescent="0.25">
      <c r="A3" s="6"/>
      <c r="B3" s="6"/>
      <c r="C3" s="6"/>
      <c r="D3" s="6"/>
      <c r="E3" s="6"/>
    </row>
    <row r="6" spans="1:6" x14ac:dyDescent="0.25">
      <c r="A6" s="7" t="s">
        <v>1</v>
      </c>
      <c r="B6" s="7"/>
      <c r="D6" s="7" t="s">
        <v>6</v>
      </c>
      <c r="E6" s="7"/>
      <c r="F6" s="7"/>
    </row>
    <row r="7" spans="1:6" ht="18.75" x14ac:dyDescent="0.25">
      <c r="A7" s="2" t="s">
        <v>2</v>
      </c>
      <c r="B7" s="1">
        <v>8</v>
      </c>
      <c r="D7" s="4" t="s">
        <v>15</v>
      </c>
      <c r="E7" s="3" t="s">
        <v>7</v>
      </c>
      <c r="F7" s="1">
        <f>B7*B8</f>
        <v>344</v>
      </c>
    </row>
    <row r="8" spans="1:6" ht="18.75" x14ac:dyDescent="0.25">
      <c r="A8" s="2" t="s">
        <v>3</v>
      </c>
      <c r="B8" s="1">
        <v>43</v>
      </c>
      <c r="D8" s="4" t="s">
        <v>8</v>
      </c>
      <c r="E8" s="3" t="s">
        <v>7</v>
      </c>
      <c r="F8" s="1">
        <f>(1.63*(B10^2.85))/B12</f>
        <v>353.86288271945176</v>
      </c>
    </row>
    <row r="9" spans="1:6" ht="18.75" x14ac:dyDescent="0.25">
      <c r="A9" s="2" t="s">
        <v>4</v>
      </c>
      <c r="B9" s="1">
        <v>35</v>
      </c>
      <c r="D9" s="4" t="s">
        <v>11</v>
      </c>
      <c r="E9" s="3" t="s">
        <v>7</v>
      </c>
      <c r="F9" s="1">
        <f>F8/F7</f>
        <v>1.0286711706960807</v>
      </c>
    </row>
    <row r="10" spans="1:6" x14ac:dyDescent="0.25">
      <c r="A10" s="2" t="s">
        <v>5</v>
      </c>
      <c r="B10" s="1">
        <v>7</v>
      </c>
      <c r="D10" s="8" t="s">
        <v>12</v>
      </c>
      <c r="E10" s="9" t="str">
        <f>IF(F9&gt;1,A22,A23)</f>
        <v>si</v>
      </c>
      <c r="F10" s="5"/>
    </row>
    <row r="11" spans="1:6" x14ac:dyDescent="0.25">
      <c r="A11" s="2" t="s">
        <v>9</v>
      </c>
      <c r="B11" s="1">
        <f>B9/B10</f>
        <v>5</v>
      </c>
      <c r="D11" s="10" t="s">
        <v>16</v>
      </c>
      <c r="E11" s="11" t="s">
        <v>7</v>
      </c>
      <c r="F11" s="1">
        <f>(195.37*B10^4)/(B9*F12)</f>
        <v>2680.4764</v>
      </c>
    </row>
    <row r="12" spans="1:6" x14ac:dyDescent="0.25">
      <c r="A12" s="2" t="s">
        <v>10</v>
      </c>
      <c r="B12" s="1">
        <v>1.18</v>
      </c>
      <c r="D12" s="10" t="s">
        <v>17</v>
      </c>
      <c r="E12" s="11" t="s">
        <v>7</v>
      </c>
      <c r="F12" s="1">
        <v>5</v>
      </c>
    </row>
    <row r="13" spans="1:6" x14ac:dyDescent="0.25">
      <c r="D13" s="12" t="s">
        <v>18</v>
      </c>
      <c r="E13" s="13" t="s">
        <v>7</v>
      </c>
      <c r="F13" s="1">
        <f>(F7*360)/F11</f>
        <v>46.200742524724333</v>
      </c>
    </row>
    <row r="14" spans="1:6" x14ac:dyDescent="0.25">
      <c r="D14" s="12" t="s">
        <v>19</v>
      </c>
      <c r="E14" s="13" t="s">
        <v>7</v>
      </c>
      <c r="F14" s="1">
        <f>(3*B9*F12)/(B12*(B10^1.15))</f>
        <v>47.469488282671662</v>
      </c>
    </row>
    <row r="21" spans="1:1" ht="17.25" customHeight="1" x14ac:dyDescent="0.25"/>
    <row r="22" spans="1:1" ht="4.5" hidden="1" customHeight="1" x14ac:dyDescent="0.25">
      <c r="A22" t="s">
        <v>13</v>
      </c>
    </row>
    <row r="23" spans="1:1" ht="3.75" hidden="1" customHeight="1" x14ac:dyDescent="0.25">
      <c r="A23" t="s">
        <v>14</v>
      </c>
    </row>
  </sheetData>
  <mergeCells count="3">
    <mergeCell ref="A1:E3"/>
    <mergeCell ref="A6:B6"/>
    <mergeCell ref="D6:F6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PCKT-13</dc:creator>
  <cp:lastModifiedBy>PCKT-13</cp:lastModifiedBy>
  <dcterms:created xsi:type="dcterms:W3CDTF">2021-10-05T19:48:52Z</dcterms:created>
  <dcterms:modified xsi:type="dcterms:W3CDTF">2021-10-06T18:28:54Z</dcterms:modified>
</cp:coreProperties>
</file>