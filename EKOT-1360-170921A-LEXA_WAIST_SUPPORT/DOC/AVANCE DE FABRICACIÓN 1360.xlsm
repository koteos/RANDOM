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C:\Users\DELL\Downloads\"/>
    </mc:Choice>
  </mc:AlternateContent>
  <bookViews>
    <workbookView xWindow="0" yWindow="0" windowWidth="20460" windowHeight="7830" tabRatio="506"/>
  </bookViews>
  <sheets>
    <sheet name="PORTADA" sheetId="13" r:id="rId1"/>
    <sheet name="1360" sheetId="6" r:id="rId2"/>
    <sheet name="ACCESORIOS" sheetId="22" r:id="rId3"/>
    <sheet name="TORNILLERÍA" sheetId="23" r:id="rId4"/>
  </sheets>
  <definedNames>
    <definedName name="_xlnm.Print_Area" localSheetId="0">PORTADA!$A$1:$I$32</definedName>
    <definedName name="Productos">#REF!</definedName>
    <definedName name="PROVEEDORES">PORTADA!$R$11:$R$14</definedName>
  </definedNames>
  <calcPr calcId="152511"/>
</workbook>
</file>

<file path=xl/calcChain.xml><?xml version="1.0" encoding="utf-8"?>
<calcChain xmlns="http://schemas.openxmlformats.org/spreadsheetml/2006/main">
  <c r="N7" i="23" l="1"/>
  <c r="N7" i="22"/>
  <c r="Q13" i="22" l="1"/>
  <c r="G13" i="22"/>
  <c r="S13" i="22" s="1"/>
  <c r="Q30" i="6"/>
  <c r="G30" i="6"/>
  <c r="S30" i="6" s="1"/>
  <c r="Q29" i="6"/>
  <c r="G29" i="6"/>
  <c r="S29" i="6" s="1"/>
  <c r="Q28" i="6"/>
  <c r="G28" i="6"/>
  <c r="S28" i="6" s="1"/>
  <c r="Q27" i="6"/>
  <c r="G27" i="6"/>
  <c r="S27" i="6" s="1"/>
  <c r="Q26" i="6"/>
  <c r="G26" i="6"/>
  <c r="S26" i="6" s="1"/>
  <c r="Q32" i="22" l="1"/>
  <c r="Q33" i="22"/>
  <c r="Q34" i="22"/>
  <c r="Q35" i="22"/>
  <c r="Q36" i="22"/>
  <c r="Q37" i="22"/>
  <c r="Q38" i="22"/>
  <c r="Q39" i="22"/>
  <c r="Q40" i="22"/>
  <c r="G30" i="23"/>
  <c r="G31" i="23"/>
  <c r="G32" i="23"/>
  <c r="G33" i="23"/>
  <c r="G34" i="23"/>
  <c r="G35" i="23"/>
  <c r="G36" i="23"/>
  <c r="G37" i="23"/>
  <c r="G38" i="23"/>
  <c r="G39" i="23"/>
  <c r="G40" i="23"/>
  <c r="G41" i="23"/>
  <c r="G32" i="22"/>
  <c r="G33" i="22"/>
  <c r="G34" i="22"/>
  <c r="G35" i="22"/>
  <c r="G36" i="22"/>
  <c r="G37" i="22"/>
  <c r="G38" i="22"/>
  <c r="G39" i="22"/>
  <c r="G40" i="22"/>
  <c r="Q30" i="23"/>
  <c r="Q31" i="23"/>
  <c r="Q32" i="23"/>
  <c r="Q33" i="23"/>
  <c r="Q34" i="23"/>
  <c r="Q35" i="23"/>
  <c r="Q36" i="23"/>
  <c r="Q37" i="23"/>
  <c r="Q38" i="23"/>
  <c r="Q39" i="23"/>
  <c r="Q40" i="23"/>
  <c r="Q41" i="23"/>
  <c r="G30" i="22" l="1"/>
  <c r="G31" i="22"/>
  <c r="Q30" i="22"/>
  <c r="Q31" i="22"/>
  <c r="Q14" i="22"/>
  <c r="Q15" i="22"/>
  <c r="Q16" i="22"/>
  <c r="Q17" i="22"/>
  <c r="Q18" i="22"/>
  <c r="Q19" i="22"/>
  <c r="Q20" i="22"/>
  <c r="Q21" i="22"/>
  <c r="Q22" i="22"/>
  <c r="Q23" i="22"/>
  <c r="Q24" i="22"/>
  <c r="Q25" i="22"/>
  <c r="Q26" i="22"/>
  <c r="Q27" i="22"/>
  <c r="Q28" i="22"/>
  <c r="Q29" i="22"/>
  <c r="G14" i="22" l="1"/>
  <c r="G15" i="22"/>
  <c r="G16" i="22"/>
  <c r="G17" i="22"/>
  <c r="G18" i="22"/>
  <c r="G19" i="22"/>
  <c r="G20" i="22"/>
  <c r="G21" i="22"/>
  <c r="G22" i="22"/>
  <c r="G23" i="22"/>
  <c r="G24" i="22"/>
  <c r="G25" i="22"/>
  <c r="G26" i="22"/>
  <c r="G27" i="22"/>
  <c r="G28" i="22"/>
  <c r="Q14" i="23"/>
  <c r="Q15" i="23"/>
  <c r="Q16" i="23"/>
  <c r="Q17" i="23"/>
  <c r="Q18" i="23"/>
  <c r="Q19" i="23"/>
  <c r="Q20" i="23"/>
  <c r="Q21" i="23"/>
  <c r="Q22" i="23"/>
  <c r="Q23" i="23"/>
  <c r="Q24" i="23"/>
  <c r="Q25" i="23"/>
  <c r="Q26" i="23"/>
  <c r="Q27" i="23"/>
  <c r="Q28" i="23"/>
  <c r="Q29" i="23"/>
  <c r="Q13" i="23"/>
  <c r="R7" i="22"/>
  <c r="Q14" i="6"/>
  <c r="Q15" i="6"/>
  <c r="Q16" i="6"/>
  <c r="Q17" i="6"/>
  <c r="Q18" i="6"/>
  <c r="Q19" i="6"/>
  <c r="Q20" i="6"/>
  <c r="Q21" i="6"/>
  <c r="Q22" i="6"/>
  <c r="Q23" i="6"/>
  <c r="Q24" i="6"/>
  <c r="Q25" i="6"/>
  <c r="Q13" i="6"/>
  <c r="R7" i="6" l="1"/>
  <c r="R7" i="23"/>
  <c r="G13" i="23"/>
  <c r="G14" i="23"/>
  <c r="G15" i="23"/>
  <c r="G16" i="23"/>
  <c r="G17" i="23"/>
  <c r="G18" i="23"/>
  <c r="G19" i="23"/>
  <c r="G20" i="23"/>
  <c r="G21" i="23"/>
  <c r="G22" i="23"/>
  <c r="G23" i="23"/>
  <c r="G24" i="23"/>
  <c r="G25" i="23"/>
  <c r="G26" i="23"/>
  <c r="G27" i="23"/>
  <c r="G28" i="23"/>
  <c r="G29" i="23"/>
  <c r="G16" i="6"/>
  <c r="S16" i="6" s="1"/>
  <c r="G17" i="6"/>
  <c r="S17" i="6" s="1"/>
  <c r="G18" i="6"/>
  <c r="S18" i="6" s="1"/>
  <c r="G19" i="6"/>
  <c r="S19" i="6" s="1"/>
  <c r="G20" i="6"/>
  <c r="S20" i="6" s="1"/>
  <c r="G21" i="6"/>
  <c r="S21" i="6" s="1"/>
  <c r="G22" i="6"/>
  <c r="S22" i="6" s="1"/>
  <c r="G23" i="6"/>
  <c r="S23" i="6" s="1"/>
  <c r="N7" i="6" s="1"/>
  <c r="G24" i="6"/>
  <c r="S24" i="6" s="1"/>
  <c r="G25" i="6"/>
  <c r="S25" i="6" s="1"/>
  <c r="H29" i="13" l="1"/>
  <c r="S29" i="23" l="1"/>
  <c r="S28" i="23"/>
  <c r="S27" i="23"/>
  <c r="S26" i="23"/>
  <c r="S25" i="23"/>
  <c r="S24" i="23"/>
  <c r="S23" i="23"/>
  <c r="S22" i="23"/>
  <c r="S21" i="23"/>
  <c r="S20" i="23"/>
  <c r="S19" i="23"/>
  <c r="S18" i="23"/>
  <c r="S17" i="23"/>
  <c r="S16" i="23"/>
  <c r="S15" i="23"/>
  <c r="S14" i="23"/>
  <c r="S13" i="23"/>
  <c r="A7" i="23"/>
  <c r="N5" i="23"/>
  <c r="H5" i="23"/>
  <c r="C5" i="23"/>
  <c r="H4" i="23"/>
  <c r="C4" i="23"/>
  <c r="S29" i="22"/>
  <c r="G29" i="22"/>
  <c r="S28" i="22"/>
  <c r="S27" i="22"/>
  <c r="S26" i="22"/>
  <c r="S25" i="22"/>
  <c r="S24" i="22"/>
  <c r="S23" i="22"/>
  <c r="S22" i="22"/>
  <c r="S21" i="22"/>
  <c r="S20" i="22"/>
  <c r="S19" i="22"/>
  <c r="S18" i="22"/>
  <c r="S17" i="22"/>
  <c r="S16" i="22"/>
  <c r="S15" i="22"/>
  <c r="S14" i="22"/>
  <c r="A7" i="22"/>
  <c r="N5" i="22"/>
  <c r="H5" i="22"/>
  <c r="C5" i="22"/>
  <c r="H4" i="22"/>
  <c r="C4" i="22"/>
  <c r="H25" i="13" l="1"/>
  <c r="H23" i="13"/>
  <c r="A7" i="6"/>
  <c r="N5" i="6"/>
  <c r="H5" i="6"/>
  <c r="H4" i="6"/>
  <c r="C5" i="6"/>
  <c r="G14" i="6"/>
  <c r="S14" i="6" s="1"/>
  <c r="G15" i="6"/>
  <c r="S15" i="6" s="1"/>
  <c r="G13" i="6"/>
  <c r="S13" i="6" s="1"/>
  <c r="H11" i="13" l="1"/>
  <c r="H27" i="13" s="1"/>
</calcChain>
</file>

<file path=xl/comments1.xml><?xml version="1.0" encoding="utf-8"?>
<comments xmlns="http://schemas.openxmlformats.org/spreadsheetml/2006/main">
  <authors>
    <author>Ricardo</author>
  </authors>
  <commentList>
    <comment ref="N7" authorId="0" shapeId="0">
      <text>
        <r>
          <rPr>
            <b/>
            <sz val="9"/>
            <color indexed="81"/>
            <rFont val="Tahoma"/>
            <family val="2"/>
          </rPr>
          <t>ASEGURARSE DE REVISAR QUE LA FORMULA INCLUYA TODAS LAS FILAS CON DATOS</t>
        </r>
      </text>
    </comment>
    <comment ref="C11" authorId="0" shapeId="0">
      <text>
        <r>
          <rPr>
            <b/>
            <sz val="9"/>
            <color indexed="81"/>
            <rFont val="Tahoma"/>
            <family val="2"/>
          </rPr>
          <t>1 = COMPLETADO
0 = AUN NO COMPLETADO</t>
        </r>
      </text>
    </comment>
  </commentList>
</comments>
</file>

<file path=xl/comments2.xml><?xml version="1.0" encoding="utf-8"?>
<comments xmlns="http://schemas.openxmlformats.org/spreadsheetml/2006/main">
  <authors>
    <author>Ricardo</author>
  </authors>
  <commentList>
    <comment ref="N7" authorId="0" shapeId="0">
      <text>
        <r>
          <rPr>
            <b/>
            <sz val="9"/>
            <color indexed="81"/>
            <rFont val="Tahoma"/>
            <family val="2"/>
          </rPr>
          <t>ASEGURARSE DE REVISAR QUE LA FORMULA INCLUYA TODAS LAS FILAS CON DATOS</t>
        </r>
      </text>
    </comment>
  </commentList>
</comments>
</file>

<file path=xl/comments3.xml><?xml version="1.0" encoding="utf-8"?>
<comments xmlns="http://schemas.openxmlformats.org/spreadsheetml/2006/main">
  <authors>
    <author>Ricardo</author>
  </authors>
  <commentList>
    <comment ref="N7" authorId="0" shapeId="0">
      <text>
        <r>
          <rPr>
            <b/>
            <sz val="9"/>
            <color indexed="81"/>
            <rFont val="Tahoma"/>
            <family val="2"/>
          </rPr>
          <t>ASEGURARSE DE REVISAR QUE LA FORMULA INCLUYA TODAS LAS FILAS CON DATOS</t>
        </r>
      </text>
    </comment>
  </commentList>
</comments>
</file>

<file path=xl/sharedStrings.xml><?xml version="1.0" encoding="utf-8"?>
<sst xmlns="http://schemas.openxmlformats.org/spreadsheetml/2006/main" count="135" uniqueCount="80">
  <si>
    <t>FOTO</t>
  </si>
  <si>
    <t>Corte</t>
  </si>
  <si>
    <t>Maquinado</t>
  </si>
  <si>
    <t>Barrenado</t>
  </si>
  <si>
    <t>Acabado</t>
  </si>
  <si>
    <t>TOTAL</t>
  </si>
  <si>
    <t>AVANCE TOTAL</t>
  </si>
  <si>
    <t>ASYS</t>
  </si>
  <si>
    <t>Proveedor</t>
  </si>
  <si>
    <t>Observaciones</t>
  </si>
  <si>
    <t>Cantidad</t>
  </si>
  <si>
    <t>Número de Dibujo Interno</t>
  </si>
  <si>
    <t>AVANCE DE FABRICACIÓN</t>
  </si>
  <si>
    <t>DENOMINACIÓN</t>
  </si>
  <si>
    <t xml:space="preserve">Proyecto </t>
  </si>
  <si>
    <t>Fecha</t>
  </si>
  <si>
    <t>Descripción</t>
  </si>
  <si>
    <t>Cliente</t>
  </si>
  <si>
    <t>Realizó</t>
  </si>
  <si>
    <t xml:space="preserve">          SEGUIMIENTO DE FABRICACIÓN</t>
  </si>
  <si>
    <t>%</t>
  </si>
  <si>
    <t># PIEZA</t>
  </si>
  <si>
    <t>Proyecto No.</t>
  </si>
  <si>
    <t>Nombre, firma y fecha del Líder de Proyecto</t>
  </si>
  <si>
    <t>Fecha INICIO</t>
  </si>
  <si>
    <t>Fecha ESTIMADA</t>
  </si>
  <si>
    <t>Fecha ENTREGA</t>
  </si>
  <si>
    <t>DISPOMEX</t>
  </si>
  <si>
    <t>MAQUINADOS SERRA (INTERMAQ)</t>
  </si>
  <si>
    <t>DIMSA</t>
  </si>
  <si>
    <t xml:space="preserve"> </t>
  </si>
  <si>
    <t>Nombre, firma y fecha del Líder de Op.</t>
  </si>
  <si>
    <t>Precio</t>
  </si>
  <si>
    <t>Total</t>
  </si>
  <si>
    <t xml:space="preserve">                  SEGUIMIENTO DE FABRICACIÓN: MAQUINADOS</t>
  </si>
  <si>
    <t>ACCESORIOS</t>
  </si>
  <si>
    <t xml:space="preserve">Precio </t>
  </si>
  <si>
    <t>SELECCIONAR TIPO DE PRODUCTO:</t>
  </si>
  <si>
    <t># SERIE</t>
  </si>
  <si>
    <t>Pedido</t>
  </si>
  <si>
    <t>En proceso</t>
  </si>
  <si>
    <t>Enviado</t>
  </si>
  <si>
    <t>Recibido</t>
  </si>
  <si>
    <t>TORNILLERÍA</t>
  </si>
  <si>
    <t xml:space="preserve">                  SEGUIMIENTO DE FABRICACIÓN: ACCESORIOS</t>
  </si>
  <si>
    <t xml:space="preserve">                  SEGUIMIENTO DE FABRICACIÓN: TORNILLERÍA</t>
  </si>
  <si>
    <t>TOTAL $</t>
  </si>
  <si>
    <t xml:space="preserve">3. Confirma dando click en el cuadro que corresponda </t>
  </si>
  <si>
    <t>2. Selecciona del cuadro el tipo de producto ( Si el producto no se encuentra en la lista deja el cuadro con "-", todo deberá llenarse manualmente)</t>
  </si>
  <si>
    <t xml:space="preserve">4. Las celdas de porcentaje de avance y total$ se irán actualizando conforme se vayan llenando los campos de las hojas en cuestión, puedes acceder a ellas dando click en los botones verdes </t>
  </si>
  <si>
    <t xml:space="preserve">7. ABSOLUTAMENTE TODOS LOS CAMPOS SE PUEDEN LLENAR Y MODIFCAR MANUALMENTE </t>
  </si>
  <si>
    <t>Instrucciones de uso y recomendaciones:</t>
  </si>
  <si>
    <t>8. El modulo de avance de fabricación se debe llenar con "1" si ya está completada la fase y "0" si aún no está completada la fase</t>
  </si>
  <si>
    <t>ESTE EXCEL SIRVE DE BASE/ MACHOTE, NO EXISTE UN COMANDO QUE BORRE REGISTROS PASADOS SOLO CON SELECCIONAR Y CONFIRMAR UN PRODUCTO DIFERENTE CADA QUE SE REALICE PARA UN NUEVO PROYECTO, POR LO QUE SE RECOMIENDA DESCARGAR ESTE DOCUMENTO BASE EN BLANCO CADA QUE SE NECESITE LLENAR PARA UN NUEVO PROYECTO.</t>
  </si>
  <si>
    <t>1. Llena los campos generales de las celdas grises.</t>
  </si>
  <si>
    <t>5. Algunas de las paginas que se llenan automáticamente son : COLUMNA, BRAZO, ANTEBRAZO, NEUMATICA ACCESORIOS Y TORNILLERÍA.</t>
  </si>
  <si>
    <t>6. Algunos de los campos que se llenan en cada hoja automaticamente son: # de pieza/serie, Denominación, Foto, Cantidad, Precio y Total</t>
  </si>
  <si>
    <t>07.12.2021</t>
  </si>
  <si>
    <t>M.Gutiérrez</t>
  </si>
  <si>
    <t>Esta en taller, falta cortar dimensión exacta</t>
  </si>
  <si>
    <t>Falta entregar soportes para adaptación de textil</t>
  </si>
  <si>
    <t>XRU1008</t>
  </si>
  <si>
    <t xml:space="preserve">TORNILLERIA </t>
  </si>
  <si>
    <t>PLACA PECHO</t>
  </si>
  <si>
    <t>AJUSTE DE TALLA</t>
  </si>
  <si>
    <t>TUBO SUPERIOR</t>
  </si>
  <si>
    <t>CONJUNTO BASE</t>
  </si>
  <si>
    <t>RESORTE</t>
  </si>
  <si>
    <t>TAMBOR</t>
  </si>
  <si>
    <t>BISAGRA</t>
  </si>
  <si>
    <t>CONTRA BISAGRA</t>
  </si>
  <si>
    <t>SOPORTE MUSLO</t>
  </si>
  <si>
    <t>SOPORTE COJIN</t>
  </si>
  <si>
    <t>X</t>
  </si>
  <si>
    <t>RODILLERA</t>
  </si>
  <si>
    <t>TEXTILES</t>
  </si>
  <si>
    <t>Exoesqueleto Waist Support</t>
  </si>
  <si>
    <t>KOTEOS</t>
  </si>
  <si>
    <t>Exoesqueleto</t>
  </si>
  <si>
    <t>FABRICACIÓN EXOESQUELETO</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</si>
</sst>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quot;$&quot;* #,##0.00_-;_-&quot;$&quot;* &quot;-&quot;??_-;_-@_-"/>
    <numFmt numFmtId="164" formatCode="[$-F800]dddd\,\ mmmm\ dd\,\ yyyy"/>
    <numFmt numFmtId="165" formatCode="&quot; $&quot;* #,##0.00\ ;&quot;-$&quot;* #,##0.00\ ;&quot; $&quot;* \-#\ ;@\ "/>
  </numFmts>
  <fonts count="33" x14ac:knownFonts="1">
    <font>
      <sz val="11"/>
      <color theme="1"/>
      <name val="Calibri"/>
      <family val="2"/>
      <scheme val="minor"/>
    </font>
    <font>
      <sz val="11"/>
      <color theme="1"/>
      <name val="Calibri"/>
      <family val="2"/>
      <scheme val="minor"/>
    </font>
    <font>
      <sz val="10"/>
      <name val="Arial"/>
      <family val="2"/>
    </font>
    <font>
      <sz val="11"/>
      <color rgb="FF006100"/>
      <name val="Calibri"/>
      <family val="2"/>
      <scheme val="minor"/>
    </font>
    <font>
      <b/>
      <sz val="24"/>
      <color theme="0"/>
      <name val="Yu Gothic"/>
      <family val="2"/>
    </font>
    <font>
      <sz val="11"/>
      <color theme="1"/>
      <name val="Yu Gothic"/>
      <family val="2"/>
    </font>
    <font>
      <b/>
      <sz val="18"/>
      <color theme="0"/>
      <name val="Yu Gothic"/>
      <family val="2"/>
    </font>
    <font>
      <b/>
      <sz val="18"/>
      <name val="Yu Gothic"/>
      <family val="2"/>
    </font>
    <font>
      <b/>
      <sz val="18"/>
      <color theme="1"/>
      <name val="Yu Gothic"/>
      <family val="2"/>
    </font>
    <font>
      <b/>
      <sz val="10"/>
      <color theme="1"/>
      <name val="Yu Gothic"/>
      <family val="2"/>
    </font>
    <font>
      <sz val="10"/>
      <color theme="1"/>
      <name val="Yu Gothic"/>
      <family val="2"/>
    </font>
    <font>
      <b/>
      <sz val="11"/>
      <color theme="0"/>
      <name val="Yu Gothic"/>
      <family val="2"/>
    </font>
    <font>
      <b/>
      <sz val="11"/>
      <color theme="1"/>
      <name val="Yu Gothic"/>
      <family val="2"/>
    </font>
    <font>
      <b/>
      <sz val="11"/>
      <name val="Yu Gothic"/>
      <family val="2"/>
    </font>
    <font>
      <sz val="11"/>
      <color theme="0"/>
      <name val="Yu Gothic"/>
      <family val="2"/>
    </font>
    <font>
      <sz val="18"/>
      <color theme="1"/>
      <name val="Yu Gothic"/>
      <family val="2"/>
    </font>
    <font>
      <sz val="11"/>
      <name val="Yu Gothic"/>
      <family val="2"/>
    </font>
    <font>
      <b/>
      <sz val="10"/>
      <color theme="0"/>
      <name val="Yu Gothic"/>
      <family val="2"/>
    </font>
    <font>
      <sz val="24"/>
      <color theme="1"/>
      <name val="Yu Gothic"/>
      <family val="2"/>
    </font>
    <font>
      <b/>
      <sz val="24"/>
      <color theme="1"/>
      <name val="Yu Gothic"/>
      <family val="2"/>
    </font>
    <font>
      <sz val="12"/>
      <name val="Yu Gothic"/>
      <family val="2"/>
    </font>
    <font>
      <sz val="16"/>
      <name val="Yu Gothic"/>
      <family val="2"/>
    </font>
    <font>
      <b/>
      <sz val="14"/>
      <color theme="0"/>
      <name val="Yu Gothic"/>
      <family val="2"/>
    </font>
    <font>
      <b/>
      <sz val="14"/>
      <name val="Yu Gothic"/>
      <family val="2"/>
    </font>
    <font>
      <b/>
      <sz val="26"/>
      <color theme="1"/>
      <name val="Yu Gothic"/>
      <family val="2"/>
    </font>
    <font>
      <sz val="26"/>
      <color theme="1"/>
      <name val="Yu Gothic"/>
      <family val="2"/>
    </font>
    <font>
      <sz val="12"/>
      <color theme="1"/>
      <name val="Yu Gothic"/>
      <family val="2"/>
    </font>
    <font>
      <b/>
      <sz val="12"/>
      <color theme="1"/>
      <name val="Yu Gothic"/>
      <family val="2"/>
    </font>
    <font>
      <b/>
      <sz val="9"/>
      <color indexed="81"/>
      <name val="Tahoma"/>
      <family val="2"/>
    </font>
    <font>
      <sz val="11"/>
      <color rgb="FF000000"/>
      <name val="Calibri"/>
      <family val="2"/>
      <charset val="1"/>
    </font>
    <font>
      <b/>
      <sz val="20"/>
      <color theme="1"/>
      <name val="Yu Gothic"/>
      <family val="2"/>
    </font>
    <font>
      <b/>
      <sz val="18"/>
      <color rgb="FFFF0000"/>
      <name val="Yu Gothic"/>
      <family val="2"/>
    </font>
    <font>
      <b/>
      <u/>
      <sz val="26"/>
      <color theme="1"/>
      <name val="Yu Gothic"/>
      <family val="2"/>
    </font>
  </fonts>
  <fills count="9">
    <fill>
      <patternFill patternType="none"/>
    </fill>
    <fill>
      <patternFill patternType="gray125"/>
    </fill>
    <fill>
      <patternFill patternType="solid">
        <fgColor theme="0"/>
        <bgColor indexed="64"/>
      </patternFill>
    </fill>
    <fill>
      <patternFill patternType="solid">
        <fgColor rgb="FFC6EFCE"/>
      </patternFill>
    </fill>
    <fill>
      <patternFill patternType="solid">
        <fgColor rgb="FF2670CA"/>
        <bgColor indexed="64"/>
      </patternFill>
    </fill>
    <fill>
      <patternFill patternType="solid">
        <fgColor rgb="FF4D4D4D"/>
        <bgColor indexed="64"/>
      </patternFill>
    </fill>
    <fill>
      <patternFill patternType="solid">
        <fgColor rgb="FFADADAD"/>
        <bgColor indexed="64"/>
      </patternFill>
    </fill>
    <fill>
      <patternFill patternType="solid">
        <fgColor rgb="FF91D122"/>
        <bgColor indexed="64"/>
      </patternFill>
    </fill>
    <fill>
      <patternFill patternType="solid">
        <fgColor rgb="FFFFFF00"/>
        <bgColor indexed="64"/>
      </patternFill>
    </fill>
  </fills>
  <borders count="1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9">
    <xf numFmtId="0" fontId="0" fillId="0" borderId="0"/>
    <xf numFmtId="0" fontId="2" fillId="0" borderId="0"/>
    <xf numFmtId="44" fontId="1" fillId="0" borderId="0" applyFont="0" applyFill="0" applyBorder="0" applyAlignment="0" applyProtection="0"/>
    <xf numFmtId="0" fontId="3" fillId="3" borderId="0" applyNumberFormat="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29" fillId="0" borderId="0"/>
    <xf numFmtId="165" fontId="29" fillId="0" borderId="0" applyBorder="0" applyProtection="0"/>
    <xf numFmtId="0" fontId="29" fillId="0" borderId="0"/>
  </cellStyleXfs>
  <cellXfs count="249">
    <xf numFmtId="0" fontId="0" fillId="0" borderId="0" xfId="0"/>
    <xf numFmtId="0" fontId="5" fillId="0" borderId="0" xfId="0" applyFont="1"/>
    <xf numFmtId="0" fontId="6" fillId="5" borderId="15" xfId="1" applyFont="1" applyFill="1" applyBorder="1" applyAlignment="1">
      <alignment horizontal="left" vertical="center"/>
    </xf>
    <xf numFmtId="0" fontId="6" fillId="5" borderId="8" xfId="1" applyFont="1" applyFill="1" applyBorder="1" applyAlignment="1">
      <alignment horizontal="left" vertical="center"/>
    </xf>
    <xf numFmtId="0" fontId="12" fillId="6" borderId="15" xfId="0" applyFont="1" applyFill="1" applyBorder="1" applyAlignment="1">
      <alignment horizontal="center"/>
    </xf>
    <xf numFmtId="9" fontId="13" fillId="6" borderId="15" xfId="3" applyNumberFormat="1" applyFont="1" applyFill="1" applyBorder="1" applyAlignment="1">
      <alignment horizontal="center" vertical="center"/>
    </xf>
    <xf numFmtId="0" fontId="14" fillId="0" borderId="0" xfId="0" applyFont="1"/>
    <xf numFmtId="0" fontId="15" fillId="0" borderId="0" xfId="0" applyFont="1"/>
    <xf numFmtId="0" fontId="9" fillId="2" borderId="0" xfId="0" applyFont="1" applyFill="1" applyBorder="1" applyAlignment="1">
      <alignment horizontal="center" vertical="center" shrinkToFit="1"/>
    </xf>
    <xf numFmtId="0" fontId="9" fillId="2" borderId="0" xfId="0" applyFont="1" applyFill="1" applyBorder="1" applyAlignment="1">
      <alignment horizontal="center" vertical="center" wrapText="1"/>
    </xf>
    <xf numFmtId="0" fontId="9" fillId="0" borderId="0" xfId="0" applyFont="1" applyBorder="1" applyAlignment="1">
      <alignment horizontal="center" vertical="center"/>
    </xf>
    <xf numFmtId="0" fontId="10" fillId="0" borderId="0" xfId="0" applyFont="1" applyBorder="1" applyAlignment="1"/>
    <xf numFmtId="0" fontId="10" fillId="0" borderId="0" xfId="0" applyFont="1" applyBorder="1"/>
    <xf numFmtId="49" fontId="16" fillId="0" borderId="15" xfId="0" applyNumberFormat="1" applyFont="1" applyFill="1" applyBorder="1" applyAlignment="1">
      <alignment horizontal="center" vertical="center" wrapText="1"/>
    </xf>
    <xf numFmtId="0" fontId="5" fillId="0" borderId="15" xfId="0" applyFont="1" applyBorder="1" applyAlignment="1">
      <alignment horizontal="left" vertical="center" wrapText="1"/>
    </xf>
    <xf numFmtId="0" fontId="5" fillId="0" borderId="15" xfId="0" applyFont="1" applyBorder="1" applyAlignment="1">
      <alignment horizontal="center" vertical="center"/>
    </xf>
    <xf numFmtId="0" fontId="12" fillId="0" borderId="15" xfId="0" applyFont="1" applyBorder="1" applyAlignment="1">
      <alignment horizontal="center" vertical="center" wrapText="1"/>
    </xf>
    <xf numFmtId="0" fontId="5" fillId="0" borderId="15" xfId="0" applyFont="1" applyBorder="1" applyAlignment="1">
      <alignment horizontal="center" vertical="center" wrapText="1"/>
    </xf>
    <xf numFmtId="0" fontId="18" fillId="0" borderId="0" xfId="0" applyFont="1"/>
    <xf numFmtId="0" fontId="19" fillId="0" borderId="0" xfId="0" applyFont="1" applyAlignment="1">
      <alignment vertical="center"/>
    </xf>
    <xf numFmtId="0" fontId="19" fillId="0" borderId="0" xfId="0" applyFont="1" applyBorder="1" applyAlignment="1">
      <alignment horizontal="center" vertical="center"/>
    </xf>
    <xf numFmtId="0" fontId="18" fillId="0" borderId="0" xfId="0" applyFont="1" applyBorder="1"/>
    <xf numFmtId="0" fontId="18" fillId="0" borderId="0" xfId="0" applyFont="1" applyBorder="1" applyAlignment="1">
      <alignment horizontal="center" vertical="center"/>
    </xf>
    <xf numFmtId="0" fontId="19" fillId="7" borderId="10" xfId="0" applyFont="1" applyFill="1" applyBorder="1" applyAlignment="1">
      <alignment horizontal="center" vertical="center"/>
    </xf>
    <xf numFmtId="0" fontId="5" fillId="0" borderId="0" xfId="0" applyFont="1" applyBorder="1"/>
    <xf numFmtId="0" fontId="21" fillId="0" borderId="0" xfId="0" applyFont="1" applyBorder="1" applyAlignment="1">
      <alignment vertical="center"/>
    </xf>
    <xf numFmtId="0" fontId="25" fillId="0" borderId="0" xfId="0" applyFont="1"/>
    <xf numFmtId="0" fontId="24" fillId="0" borderId="0" xfId="0" applyFont="1" applyBorder="1" applyAlignment="1">
      <alignment horizontal="center" vertical="center"/>
    </xf>
    <xf numFmtId="0" fontId="25" fillId="0" borderId="0" xfId="0" applyFont="1" applyBorder="1"/>
    <xf numFmtId="0" fontId="25" fillId="0" borderId="0" xfId="0" applyFont="1" applyBorder="1" applyAlignment="1">
      <alignment horizontal="center" vertical="center"/>
    </xf>
    <xf numFmtId="10" fontId="25" fillId="0" borderId="0" xfId="0" applyNumberFormat="1" applyFont="1" applyBorder="1" applyAlignment="1">
      <alignment horizontal="center" vertical="center"/>
    </xf>
    <xf numFmtId="10" fontId="24" fillId="0" borderId="0" xfId="0" applyNumberFormat="1" applyFont="1" applyBorder="1" applyAlignment="1">
      <alignment horizontal="center" vertical="center"/>
    </xf>
    <xf numFmtId="0" fontId="5" fillId="0" borderId="11" xfId="0" applyFont="1" applyBorder="1" applyAlignment="1">
      <alignment vertical="center"/>
    </xf>
    <xf numFmtId="0" fontId="5" fillId="0" borderId="15" xfId="0" applyFont="1" applyBorder="1" applyAlignment="1">
      <alignment vertical="center"/>
    </xf>
    <xf numFmtId="0" fontId="16" fillId="0" borderId="0" xfId="0" applyFont="1"/>
    <xf numFmtId="0" fontId="20" fillId="0" borderId="15" xfId="0" applyNumberFormat="1" applyFont="1" applyFill="1" applyBorder="1" applyAlignment="1">
      <alignment horizontal="center" vertical="center" wrapText="1"/>
    </xf>
    <xf numFmtId="49" fontId="20" fillId="0" borderId="15" xfId="0" applyNumberFormat="1" applyFont="1" applyFill="1" applyBorder="1" applyAlignment="1">
      <alignment horizontal="center" vertical="center" wrapText="1"/>
    </xf>
    <xf numFmtId="0" fontId="26" fillId="0" borderId="15" xfId="0" applyFont="1" applyFill="1" applyBorder="1" applyAlignment="1">
      <alignment horizontal="center" vertical="center"/>
    </xf>
    <xf numFmtId="0" fontId="26" fillId="0" borderId="15" xfId="0" applyNumberFormat="1" applyFont="1" applyBorder="1" applyAlignment="1">
      <alignment horizontal="center" vertical="center"/>
    </xf>
    <xf numFmtId="0" fontId="26" fillId="0" borderId="15" xfId="0" applyFont="1" applyBorder="1" applyAlignment="1">
      <alignment horizontal="left" vertical="center" wrapText="1"/>
    </xf>
    <xf numFmtId="0" fontId="26" fillId="0" borderId="15" xfId="0" applyFont="1" applyBorder="1" applyAlignment="1">
      <alignment horizontal="center" vertical="center"/>
    </xf>
    <xf numFmtId="14" fontId="26" fillId="0" borderId="15" xfId="0" applyNumberFormat="1" applyFont="1" applyBorder="1" applyAlignment="1">
      <alignment horizontal="center" vertical="center"/>
    </xf>
    <xf numFmtId="14" fontId="26" fillId="0" borderId="11" xfId="0" applyNumberFormat="1" applyFont="1" applyBorder="1" applyAlignment="1">
      <alignment horizontal="center" vertical="center"/>
    </xf>
    <xf numFmtId="0" fontId="23" fillId="0" borderId="0" xfId="1" applyFont="1" applyFill="1" applyBorder="1" applyAlignment="1">
      <alignment horizontal="left" vertical="center" wrapText="1"/>
    </xf>
    <xf numFmtId="0" fontId="22" fillId="0" borderId="0" xfId="1" applyFont="1" applyFill="1" applyBorder="1" applyAlignment="1">
      <alignment horizontal="left" vertical="center"/>
    </xf>
    <xf numFmtId="0" fontId="5" fillId="0" borderId="0" xfId="0" applyFont="1" applyFill="1" applyBorder="1"/>
    <xf numFmtId="14" fontId="23" fillId="0" borderId="0" xfId="1" applyNumberFormat="1" applyFont="1" applyFill="1" applyBorder="1" applyAlignment="1">
      <alignment horizontal="left" vertical="center"/>
    </xf>
    <xf numFmtId="0" fontId="24" fillId="0" borderId="10" xfId="0" applyFont="1" applyBorder="1" applyAlignment="1">
      <alignment horizontal="center" vertical="center"/>
    </xf>
    <xf numFmtId="0" fontId="23" fillId="0" borderId="0" xfId="1" applyFont="1" applyFill="1" applyBorder="1" applyAlignment="1">
      <alignment horizontal="left" vertical="center"/>
    </xf>
    <xf numFmtId="0" fontId="22" fillId="5" borderId="15" xfId="1" applyFont="1" applyFill="1" applyBorder="1" applyAlignment="1">
      <alignment horizontal="left" vertical="center"/>
    </xf>
    <xf numFmtId="0" fontId="23" fillId="6" borderId="15" xfId="1" applyFont="1" applyFill="1" applyBorder="1" applyAlignment="1">
      <alignment horizontal="left" vertical="center" wrapText="1"/>
    </xf>
    <xf numFmtId="14" fontId="23" fillId="6" borderId="15" xfId="1" applyNumberFormat="1" applyFont="1" applyFill="1" applyBorder="1" applyAlignment="1">
      <alignment horizontal="left" vertical="center"/>
    </xf>
    <xf numFmtId="0" fontId="23" fillId="6" borderId="15" xfId="1" applyFont="1" applyFill="1" applyBorder="1" applyAlignment="1">
      <alignment horizontal="left" vertical="center"/>
    </xf>
    <xf numFmtId="0" fontId="17" fillId="0" borderId="0" xfId="1" applyFont="1" applyFill="1" applyBorder="1" applyAlignment="1">
      <alignment horizontal="center" vertical="center"/>
    </xf>
    <xf numFmtId="0" fontId="6" fillId="0" borderId="0" xfId="1" applyFont="1" applyFill="1" applyBorder="1" applyAlignment="1">
      <alignment horizontal="center" vertical="center"/>
    </xf>
    <xf numFmtId="0" fontId="26" fillId="0" borderId="15" xfId="0" applyFont="1" applyBorder="1" applyAlignment="1">
      <alignment horizontal="center" vertical="center" wrapText="1"/>
    </xf>
    <xf numFmtId="14" fontId="27" fillId="0" borderId="15" xfId="0" applyNumberFormat="1" applyFont="1" applyBorder="1" applyAlignment="1">
      <alignment horizontal="center" vertical="center" wrapText="1"/>
    </xf>
    <xf numFmtId="0" fontId="6" fillId="5" borderId="8" xfId="1" applyFont="1" applyFill="1" applyBorder="1" applyAlignment="1">
      <alignment horizontal="left" vertical="center"/>
    </xf>
    <xf numFmtId="0" fontId="19" fillId="7" borderId="10" xfId="0" applyFont="1" applyFill="1" applyBorder="1" applyAlignment="1">
      <alignment horizontal="center" vertical="center"/>
    </xf>
    <xf numFmtId="0" fontId="26" fillId="0" borderId="15" xfId="0" applyFont="1" applyFill="1" applyBorder="1" applyAlignment="1">
      <alignment horizontal="center" vertical="center" wrapText="1"/>
    </xf>
    <xf numFmtId="0" fontId="26" fillId="0" borderId="15" xfId="0" applyNumberFormat="1" applyFont="1" applyBorder="1" applyAlignment="1">
      <alignment horizontal="center" vertical="center" wrapText="1"/>
    </xf>
    <xf numFmtId="14" fontId="26" fillId="0" borderId="9" xfId="0" applyNumberFormat="1" applyFont="1" applyBorder="1" applyAlignment="1">
      <alignment horizontal="center" vertical="center" wrapText="1"/>
    </xf>
    <xf numFmtId="14" fontId="26" fillId="0" borderId="15" xfId="0" applyNumberFormat="1" applyFont="1" applyBorder="1" applyAlignment="1">
      <alignment horizontal="center" vertical="center" wrapText="1"/>
    </xf>
    <xf numFmtId="14" fontId="26" fillId="0" borderId="11" xfId="0" applyNumberFormat="1" applyFont="1" applyBorder="1" applyAlignment="1">
      <alignment horizontal="center" vertical="center" wrapText="1"/>
    </xf>
    <xf numFmtId="0" fontId="26" fillId="0" borderId="9" xfId="0" applyFont="1" applyBorder="1" applyAlignment="1">
      <alignment horizontal="center" vertical="center" wrapText="1"/>
    </xf>
    <xf numFmtId="0" fontId="26" fillId="0" borderId="10" xfId="0" applyFont="1" applyBorder="1" applyAlignment="1">
      <alignment horizontal="center" vertical="center" wrapText="1"/>
    </xf>
    <xf numFmtId="44" fontId="5" fillId="0" borderId="0" xfId="5" applyFont="1"/>
    <xf numFmtId="44" fontId="10" fillId="0" borderId="0" xfId="5" applyFont="1" applyBorder="1" applyAlignment="1"/>
    <xf numFmtId="44" fontId="11" fillId="5" borderId="12" xfId="5" applyFont="1" applyFill="1" applyBorder="1" applyAlignment="1">
      <alignment horizontal="center" vertical="center" wrapText="1"/>
    </xf>
    <xf numFmtId="44" fontId="11" fillId="5" borderId="14" xfId="5" applyFont="1" applyFill="1" applyBorder="1" applyAlignment="1">
      <alignment horizontal="center" vertical="center" wrapText="1"/>
    </xf>
    <xf numFmtId="44" fontId="11" fillId="5" borderId="13" xfId="5" applyFont="1" applyFill="1" applyBorder="1" applyAlignment="1">
      <alignment horizontal="center" vertical="center" wrapText="1"/>
    </xf>
    <xf numFmtId="44" fontId="26" fillId="0" borderId="15" xfId="5" applyFont="1" applyBorder="1" applyAlignment="1">
      <alignment horizontal="center" vertical="center" wrapText="1"/>
    </xf>
    <xf numFmtId="44" fontId="26" fillId="0" borderId="15" xfId="5" applyFont="1" applyBorder="1" applyAlignment="1">
      <alignment horizontal="center" vertical="center"/>
    </xf>
    <xf numFmtId="44" fontId="5" fillId="0" borderId="15" xfId="5" applyFont="1" applyBorder="1" applyAlignment="1">
      <alignment horizontal="center" vertical="center"/>
    </xf>
    <xf numFmtId="0" fontId="30" fillId="0" borderId="0" xfId="0" applyFont="1" applyBorder="1" applyAlignment="1">
      <alignment vertical="center"/>
    </xf>
    <xf numFmtId="0" fontId="30" fillId="0" borderId="15" xfId="0" applyFont="1" applyBorder="1" applyAlignment="1">
      <alignment horizontal="center" vertical="center"/>
    </xf>
    <xf numFmtId="0" fontId="26" fillId="0" borderId="1" xfId="0" applyFont="1" applyBorder="1" applyAlignment="1">
      <alignment horizontal="center" vertical="center"/>
    </xf>
    <xf numFmtId="0" fontId="26" fillId="0" borderId="2" xfId="0" applyFont="1" applyBorder="1" applyAlignment="1">
      <alignment horizontal="center" vertical="center"/>
    </xf>
    <xf numFmtId="44" fontId="26" fillId="0" borderId="2" xfId="5" applyFont="1" applyBorder="1" applyAlignment="1">
      <alignment horizontal="center" vertical="center"/>
    </xf>
    <xf numFmtId="0" fontId="26" fillId="0" borderId="3" xfId="0" applyFont="1" applyBorder="1" applyAlignment="1">
      <alignment horizontal="center" vertical="center"/>
    </xf>
    <xf numFmtId="0" fontId="26" fillId="0" borderId="5" xfId="0" applyFont="1" applyBorder="1" applyAlignment="1">
      <alignment horizontal="center" vertical="center"/>
    </xf>
    <xf numFmtId="0" fontId="26" fillId="0" borderId="0" xfId="0" applyFont="1" applyBorder="1" applyAlignment="1">
      <alignment horizontal="center" vertical="center"/>
    </xf>
    <xf numFmtId="44" fontId="26" fillId="0" borderId="0" xfId="5" applyFont="1" applyBorder="1" applyAlignment="1">
      <alignment horizontal="center" vertical="center"/>
    </xf>
    <xf numFmtId="0" fontId="26" fillId="0" borderId="6" xfId="0" applyFont="1" applyBorder="1" applyAlignment="1">
      <alignment horizontal="center" vertical="center"/>
    </xf>
    <xf numFmtId="0" fontId="26" fillId="0" borderId="7" xfId="0" applyFont="1" applyBorder="1" applyAlignment="1">
      <alignment horizontal="center" vertical="center"/>
    </xf>
    <xf numFmtId="0" fontId="26" fillId="0" borderId="8" xfId="0" applyFont="1" applyBorder="1" applyAlignment="1">
      <alignment horizontal="center" vertical="center"/>
    </xf>
    <xf numFmtId="44" fontId="26" fillId="0" borderId="8" xfId="5" applyFont="1" applyBorder="1" applyAlignment="1">
      <alignment horizontal="center" vertical="center"/>
    </xf>
    <xf numFmtId="0" fontId="26" fillId="0" borderId="4" xfId="0" applyFont="1" applyBorder="1" applyAlignment="1">
      <alignment horizontal="center" vertical="center"/>
    </xf>
    <xf numFmtId="0" fontId="20" fillId="0" borderId="12" xfId="0" applyNumberFormat="1" applyFont="1" applyFill="1" applyBorder="1" applyAlignment="1">
      <alignment horizontal="center" vertical="center" wrapText="1"/>
    </xf>
    <xf numFmtId="49" fontId="20" fillId="0" borderId="12" xfId="0" applyNumberFormat="1" applyFont="1" applyFill="1" applyBorder="1" applyAlignment="1">
      <alignment horizontal="center" vertical="center" wrapText="1"/>
    </xf>
    <xf numFmtId="0" fontId="26" fillId="0" borderId="12" xfId="0" applyFont="1" applyBorder="1" applyAlignment="1">
      <alignment horizontal="center" vertical="center"/>
    </xf>
    <xf numFmtId="0" fontId="26" fillId="0" borderId="12" xfId="0" applyFont="1" applyBorder="1" applyAlignment="1">
      <alignment horizontal="left" vertical="center" wrapText="1"/>
    </xf>
    <xf numFmtId="14" fontId="27" fillId="0" borderId="12" xfId="0" applyNumberFormat="1" applyFont="1" applyBorder="1" applyAlignment="1">
      <alignment horizontal="center" vertical="center" wrapText="1"/>
    </xf>
    <xf numFmtId="0" fontId="26" fillId="0" borderId="9" xfId="0" applyFont="1" applyBorder="1" applyAlignment="1">
      <alignment horizontal="center" vertical="center"/>
    </xf>
    <xf numFmtId="0" fontId="26" fillId="0" borderId="10" xfId="0" applyFont="1" applyBorder="1" applyAlignment="1">
      <alignment horizontal="center" vertical="center"/>
    </xf>
    <xf numFmtId="44" fontId="26" fillId="0" borderId="10" xfId="5" applyFont="1" applyBorder="1" applyAlignment="1">
      <alignment horizontal="center" vertical="center"/>
    </xf>
    <xf numFmtId="0" fontId="26" fillId="0" borderId="11" xfId="0" applyFont="1" applyBorder="1" applyAlignment="1">
      <alignment horizontal="center" vertical="center"/>
    </xf>
    <xf numFmtId="0" fontId="26" fillId="0" borderId="14" xfId="0" applyFont="1" applyBorder="1" applyAlignment="1">
      <alignment horizontal="center" vertical="center"/>
    </xf>
    <xf numFmtId="0" fontId="26" fillId="0" borderId="5" xfId="0" applyFont="1" applyBorder="1" applyAlignment="1">
      <alignment horizontal="center" vertical="center" wrapText="1"/>
    </xf>
    <xf numFmtId="0" fontId="26" fillId="0" borderId="14" xfId="0" applyFont="1" applyBorder="1" applyAlignment="1">
      <alignment horizontal="center" vertical="center" wrapText="1"/>
    </xf>
    <xf numFmtId="0" fontId="26" fillId="0" borderId="0" xfId="0" applyFont="1" applyBorder="1" applyAlignment="1">
      <alignment horizontal="center" vertical="center" wrapText="1"/>
    </xf>
    <xf numFmtId="0" fontId="26" fillId="0" borderId="12" xfId="0" applyNumberFormat="1" applyFont="1" applyBorder="1" applyAlignment="1">
      <alignment horizontal="center" vertical="center" wrapText="1"/>
    </xf>
    <xf numFmtId="44" fontId="26" fillId="0" borderId="14" xfId="5" applyFont="1" applyBorder="1" applyAlignment="1">
      <alignment horizontal="center" vertical="center" wrapText="1"/>
    </xf>
    <xf numFmtId="44" fontId="26" fillId="0" borderId="12" xfId="5" applyFont="1" applyBorder="1" applyAlignment="1">
      <alignment horizontal="center" vertical="center" wrapText="1"/>
    </xf>
    <xf numFmtId="0" fontId="26" fillId="0" borderId="13" xfId="0" applyFont="1" applyBorder="1" applyAlignment="1">
      <alignment horizontal="center" vertical="center"/>
    </xf>
    <xf numFmtId="0" fontId="26" fillId="0" borderId="0" xfId="0" applyFont="1" applyAlignment="1">
      <alignment horizontal="center" vertical="center"/>
    </xf>
    <xf numFmtId="44" fontId="26" fillId="0" borderId="0" xfId="5" applyFont="1" applyAlignment="1">
      <alignment horizontal="center" vertical="center"/>
    </xf>
    <xf numFmtId="0" fontId="26" fillId="0" borderId="12" xfId="0" applyFont="1" applyBorder="1" applyAlignment="1">
      <alignment horizontal="center" vertical="center" wrapText="1"/>
    </xf>
    <xf numFmtId="14" fontId="26" fillId="0" borderId="12" xfId="0" applyNumberFormat="1" applyFont="1" applyBorder="1" applyAlignment="1">
      <alignment vertical="center" wrapText="1"/>
    </xf>
    <xf numFmtId="14" fontId="26" fillId="0" borderId="3" xfId="0" applyNumberFormat="1" applyFont="1" applyBorder="1" applyAlignment="1">
      <alignment vertical="center" wrapText="1"/>
    </xf>
    <xf numFmtId="0" fontId="26" fillId="0" borderId="14" xfId="0" applyNumberFormat="1" applyFont="1" applyBorder="1" applyAlignment="1">
      <alignment horizontal="center" vertical="center" wrapText="1"/>
    </xf>
    <xf numFmtId="0" fontId="5" fillId="0" borderId="5" xfId="0" applyFont="1" applyFill="1" applyBorder="1"/>
    <xf numFmtId="0" fontId="5" fillId="0" borderId="6" xfId="0" applyFont="1" applyFill="1" applyBorder="1"/>
    <xf numFmtId="0" fontId="5" fillId="0" borderId="5" xfId="0" applyFont="1" applyBorder="1"/>
    <xf numFmtId="0" fontId="5" fillId="0" borderId="6" xfId="0" applyFont="1" applyBorder="1"/>
    <xf numFmtId="0" fontId="23" fillId="0" borderId="16" xfId="0" applyFont="1" applyBorder="1" applyAlignment="1">
      <alignment horizontal="center" vertical="center" wrapText="1"/>
    </xf>
    <xf numFmtId="0" fontId="17" fillId="2" borderId="1" xfId="1" applyFont="1" applyFill="1" applyBorder="1" applyAlignment="1">
      <alignment horizontal="center" vertical="center"/>
    </xf>
    <xf numFmtId="0" fontId="17" fillId="2" borderId="2" xfId="1" applyFont="1" applyFill="1" applyBorder="1" applyAlignment="1">
      <alignment horizontal="center" vertical="center"/>
    </xf>
    <xf numFmtId="0" fontId="17" fillId="2" borderId="3" xfId="1" applyFont="1" applyFill="1" applyBorder="1" applyAlignment="1">
      <alignment horizontal="center" vertical="center"/>
    </xf>
    <xf numFmtId="0" fontId="17" fillId="2" borderId="5" xfId="1" applyFont="1" applyFill="1" applyBorder="1" applyAlignment="1">
      <alignment horizontal="center" vertical="center"/>
    </xf>
    <xf numFmtId="0" fontId="17" fillId="2" borderId="0" xfId="1" applyFont="1" applyFill="1" applyBorder="1" applyAlignment="1">
      <alignment horizontal="center" vertical="center"/>
    </xf>
    <xf numFmtId="0" fontId="17" fillId="2" borderId="6" xfId="1" applyFont="1" applyFill="1" applyBorder="1" applyAlignment="1">
      <alignment horizontal="center" vertical="center"/>
    </xf>
    <xf numFmtId="0" fontId="17" fillId="2" borderId="7" xfId="1" applyFont="1" applyFill="1" applyBorder="1" applyAlignment="1">
      <alignment horizontal="center" vertical="center"/>
    </xf>
    <xf numFmtId="0" fontId="17" fillId="2" borderId="8" xfId="1" applyFont="1" applyFill="1" applyBorder="1" applyAlignment="1">
      <alignment horizontal="center" vertical="center"/>
    </xf>
    <xf numFmtId="0" fontId="17" fillId="2" borderId="4" xfId="1" applyFont="1" applyFill="1" applyBorder="1" applyAlignment="1">
      <alignment horizontal="center" vertical="center"/>
    </xf>
    <xf numFmtId="0" fontId="6" fillId="4" borderId="1" xfId="1" applyFont="1" applyFill="1" applyBorder="1" applyAlignment="1">
      <alignment horizontal="center" vertical="center"/>
    </xf>
    <xf numFmtId="0" fontId="6" fillId="4" borderId="2" xfId="1" applyFont="1" applyFill="1" applyBorder="1" applyAlignment="1">
      <alignment horizontal="center" vertical="center"/>
    </xf>
    <xf numFmtId="0" fontId="6" fillId="4" borderId="3" xfId="1" applyFont="1" applyFill="1" applyBorder="1" applyAlignment="1">
      <alignment horizontal="center" vertical="center"/>
    </xf>
    <xf numFmtId="0" fontId="6" fillId="4" borderId="5" xfId="1" applyFont="1" applyFill="1" applyBorder="1" applyAlignment="1">
      <alignment horizontal="center" vertical="center"/>
    </xf>
    <xf numFmtId="0" fontId="6" fillId="4" borderId="0" xfId="1" applyFont="1" applyFill="1" applyBorder="1" applyAlignment="1">
      <alignment horizontal="center" vertical="center"/>
    </xf>
    <xf numFmtId="0" fontId="6" fillId="4" borderId="6" xfId="1" applyFont="1" applyFill="1" applyBorder="1" applyAlignment="1">
      <alignment horizontal="center" vertical="center"/>
    </xf>
    <xf numFmtId="0" fontId="6" fillId="4" borderId="7" xfId="1" applyFont="1" applyFill="1" applyBorder="1" applyAlignment="1">
      <alignment horizontal="center" vertical="center"/>
    </xf>
    <xf numFmtId="0" fontId="6" fillId="4" borderId="8" xfId="1" applyFont="1" applyFill="1" applyBorder="1" applyAlignment="1">
      <alignment horizontal="center" vertical="center"/>
    </xf>
    <xf numFmtId="0" fontId="6" fillId="4" borderId="4" xfId="1" applyFont="1" applyFill="1" applyBorder="1" applyAlignment="1">
      <alignment horizontal="center" vertical="center"/>
    </xf>
    <xf numFmtId="0" fontId="23" fillId="6" borderId="17" xfId="1" applyFont="1" applyFill="1" applyBorder="1" applyAlignment="1">
      <alignment horizontal="left" vertical="center"/>
    </xf>
    <xf numFmtId="0" fontId="23" fillId="6" borderId="18" xfId="1" applyFont="1" applyFill="1" applyBorder="1" applyAlignment="1">
      <alignment horizontal="left" vertical="center"/>
    </xf>
    <xf numFmtId="0" fontId="23" fillId="6" borderId="9" xfId="1" applyFont="1" applyFill="1" applyBorder="1" applyAlignment="1">
      <alignment horizontal="left" vertical="center" wrapText="1"/>
    </xf>
    <xf numFmtId="0" fontId="23" fillId="6" borderId="10" xfId="1" applyFont="1" applyFill="1" applyBorder="1" applyAlignment="1">
      <alignment horizontal="left" vertical="center" wrapText="1"/>
    </xf>
    <xf numFmtId="0" fontId="23" fillId="6" borderId="11" xfId="1" applyFont="1" applyFill="1" applyBorder="1" applyAlignment="1">
      <alignment horizontal="left" vertical="center" wrapText="1"/>
    </xf>
    <xf numFmtId="10" fontId="24" fillId="0" borderId="9" xfId="0" applyNumberFormat="1" applyFont="1" applyBorder="1" applyAlignment="1">
      <alignment horizontal="center" vertical="center"/>
    </xf>
    <xf numFmtId="10" fontId="24" fillId="0" borderId="11" xfId="0" applyNumberFormat="1" applyFont="1" applyBorder="1" applyAlignment="1">
      <alignment horizontal="center" vertical="center"/>
    </xf>
    <xf numFmtId="0" fontId="32" fillId="0" borderId="9" xfId="0" applyFont="1" applyBorder="1" applyAlignment="1">
      <alignment horizontal="center" vertical="center"/>
    </xf>
    <xf numFmtId="0" fontId="32" fillId="0" borderId="10" xfId="0" applyFont="1" applyBorder="1" applyAlignment="1">
      <alignment horizontal="center" vertical="center"/>
    </xf>
    <xf numFmtId="0" fontId="32" fillId="0" borderId="11" xfId="0" applyFont="1" applyBorder="1" applyAlignment="1">
      <alignment horizontal="center" vertical="center"/>
    </xf>
    <xf numFmtId="0" fontId="24" fillId="0" borderId="9" xfId="0" applyFont="1" applyBorder="1" applyAlignment="1">
      <alignment horizontal="center" vertical="center"/>
    </xf>
    <xf numFmtId="0" fontId="24" fillId="0" borderId="10" xfId="0" applyFont="1" applyBorder="1" applyAlignment="1">
      <alignment horizontal="center" vertical="center"/>
    </xf>
    <xf numFmtId="0" fontId="24" fillId="0" borderId="11" xfId="0" applyFont="1" applyBorder="1" applyAlignment="1">
      <alignment horizontal="center" vertical="center"/>
    </xf>
    <xf numFmtId="10" fontId="19" fillId="7" borderId="9" xfId="0" applyNumberFormat="1" applyFont="1" applyFill="1" applyBorder="1" applyAlignment="1">
      <alignment horizontal="center" vertical="center"/>
    </xf>
    <xf numFmtId="10" fontId="19" fillId="7" borderId="11" xfId="0" applyNumberFormat="1" applyFont="1" applyFill="1" applyBorder="1" applyAlignment="1">
      <alignment horizontal="center" vertical="center"/>
    </xf>
    <xf numFmtId="0" fontId="19" fillId="7" borderId="9" xfId="0" applyFont="1" applyFill="1" applyBorder="1" applyAlignment="1">
      <alignment horizontal="center" vertical="center"/>
    </xf>
    <xf numFmtId="0" fontId="19" fillId="7" borderId="10" xfId="0" applyFont="1" applyFill="1" applyBorder="1" applyAlignment="1">
      <alignment horizontal="center" vertical="center"/>
    </xf>
    <xf numFmtId="0" fontId="19" fillId="7" borderId="11" xfId="0" applyFont="1" applyFill="1" applyBorder="1" applyAlignment="1">
      <alignment horizontal="center" vertical="center"/>
    </xf>
    <xf numFmtId="0" fontId="8" fillId="0" borderId="0" xfId="0" applyFont="1" applyAlignment="1">
      <alignment horizontal="center" vertical="center" wrapText="1"/>
    </xf>
    <xf numFmtId="0" fontId="8" fillId="0" borderId="6" xfId="0" applyFont="1" applyBorder="1" applyAlignment="1">
      <alignment horizontal="center" vertical="center" wrapText="1"/>
    </xf>
    <xf numFmtId="0" fontId="24" fillId="0" borderId="9" xfId="0" applyFont="1" applyBorder="1" applyAlignment="1">
      <alignment horizontal="center"/>
    </xf>
    <xf numFmtId="0" fontId="24" fillId="0" borderId="10" xfId="0" applyFont="1" applyBorder="1" applyAlignment="1">
      <alignment horizontal="center"/>
    </xf>
    <xf numFmtId="0" fontId="24" fillId="0" borderId="11" xfId="0" applyFont="1" applyBorder="1" applyAlignment="1">
      <alignment horizontal="center"/>
    </xf>
    <xf numFmtId="44" fontId="19" fillId="7" borderId="9" xfId="0" applyNumberFormat="1" applyFont="1" applyFill="1" applyBorder="1" applyAlignment="1">
      <alignment horizontal="center" vertical="center"/>
    </xf>
    <xf numFmtId="10" fontId="24" fillId="0" borderId="9" xfId="4" applyNumberFormat="1" applyFont="1" applyBorder="1" applyAlignment="1">
      <alignment horizontal="center"/>
    </xf>
    <xf numFmtId="10" fontId="24" fillId="0" borderId="11" xfId="4" applyNumberFormat="1" applyFont="1" applyBorder="1" applyAlignment="1">
      <alignment horizontal="center"/>
    </xf>
    <xf numFmtId="0" fontId="5" fillId="0" borderId="5" xfId="0" applyFont="1" applyBorder="1" applyAlignment="1">
      <alignment horizontal="left"/>
    </xf>
    <xf numFmtId="0" fontId="5" fillId="0" borderId="0" xfId="0" applyFont="1" applyBorder="1" applyAlignment="1">
      <alignment horizontal="left"/>
    </xf>
    <xf numFmtId="0" fontId="5" fillId="0" borderId="6" xfId="0" applyFont="1" applyBorder="1" applyAlignment="1">
      <alignment horizontal="left"/>
    </xf>
    <xf numFmtId="0" fontId="5" fillId="0" borderId="5" xfId="0" applyFont="1" applyBorder="1" applyAlignment="1">
      <alignment horizontal="left" wrapText="1"/>
    </xf>
    <xf numFmtId="0" fontId="5" fillId="0" borderId="0" xfId="0" applyFont="1" applyBorder="1" applyAlignment="1">
      <alignment horizontal="left" wrapText="1"/>
    </xf>
    <xf numFmtId="0" fontId="5" fillId="0" borderId="6" xfId="0" applyFont="1" applyBorder="1" applyAlignment="1">
      <alignment horizontal="left" wrapText="1"/>
    </xf>
    <xf numFmtId="0" fontId="5" fillId="0" borderId="5" xfId="0" applyFont="1" applyBorder="1" applyAlignment="1">
      <alignment horizontal="left" vertical="center" wrapText="1"/>
    </xf>
    <xf numFmtId="0" fontId="5" fillId="0" borderId="0" xfId="0" applyFont="1" applyBorder="1" applyAlignment="1">
      <alignment horizontal="left" vertical="center" wrapText="1"/>
    </xf>
    <xf numFmtId="0" fontId="5" fillId="0" borderId="6" xfId="0" applyFont="1" applyBorder="1" applyAlignment="1">
      <alignment horizontal="left" vertical="center" wrapText="1"/>
    </xf>
    <xf numFmtId="0" fontId="31" fillId="8" borderId="1" xfId="0" applyFont="1" applyFill="1" applyBorder="1" applyAlignment="1">
      <alignment horizontal="center" vertical="center" wrapText="1"/>
    </xf>
    <xf numFmtId="0" fontId="31" fillId="8" borderId="2" xfId="0" applyFont="1" applyFill="1" applyBorder="1" applyAlignment="1">
      <alignment horizontal="center" vertical="center" wrapText="1"/>
    </xf>
    <xf numFmtId="0" fontId="31" fillId="8" borderId="3" xfId="0" applyFont="1" applyFill="1" applyBorder="1" applyAlignment="1">
      <alignment horizontal="center" vertical="center" wrapText="1"/>
    </xf>
    <xf numFmtId="0" fontId="31" fillId="8" borderId="7" xfId="0" applyFont="1" applyFill="1" applyBorder="1" applyAlignment="1">
      <alignment horizontal="center" vertical="center" wrapText="1"/>
    </xf>
    <xf numFmtId="0" fontId="31" fillId="8" borderId="8" xfId="0" applyFont="1" applyFill="1" applyBorder="1" applyAlignment="1">
      <alignment horizontal="center" vertical="center" wrapText="1"/>
    </xf>
    <xf numFmtId="0" fontId="31" fillId="8" borderId="4" xfId="0" applyFont="1" applyFill="1" applyBorder="1" applyAlignment="1">
      <alignment horizontal="center" vertical="center" wrapText="1"/>
    </xf>
    <xf numFmtId="0" fontId="5" fillId="0" borderId="5" xfId="0" applyFont="1" applyBorder="1" applyAlignment="1">
      <alignment horizontal="left" vertical="top" wrapText="1"/>
    </xf>
    <xf numFmtId="0" fontId="5" fillId="0" borderId="0" xfId="0" applyFont="1" applyBorder="1" applyAlignment="1">
      <alignment horizontal="left" vertical="top" wrapText="1"/>
    </xf>
    <xf numFmtId="0" fontId="5" fillId="0" borderId="6" xfId="0" applyFont="1" applyBorder="1" applyAlignment="1">
      <alignment horizontal="left" vertical="top" wrapText="1"/>
    </xf>
    <xf numFmtId="0" fontId="5" fillId="0" borderId="7" xfId="0" applyFont="1" applyBorder="1" applyAlignment="1">
      <alignment horizontal="left" vertical="top" wrapText="1"/>
    </xf>
    <xf numFmtId="0" fontId="5" fillId="0" borderId="8" xfId="0" applyFont="1" applyBorder="1" applyAlignment="1">
      <alignment horizontal="left" vertical="top" wrapText="1"/>
    </xf>
    <xf numFmtId="0" fontId="5" fillId="0" borderId="4" xfId="0" applyFont="1" applyBorder="1" applyAlignment="1">
      <alignment horizontal="left" vertical="top" wrapText="1"/>
    </xf>
    <xf numFmtId="0" fontId="5" fillId="0" borderId="9" xfId="0" applyFont="1" applyBorder="1" applyAlignment="1">
      <alignment horizontal="center"/>
    </xf>
    <xf numFmtId="0" fontId="5" fillId="0" borderId="11" xfId="0" applyFont="1" applyBorder="1" applyAlignment="1">
      <alignment horizontal="center"/>
    </xf>
    <xf numFmtId="0" fontId="9" fillId="0" borderId="0" xfId="0" applyFont="1" applyFill="1" applyBorder="1" applyAlignment="1">
      <alignment horizontal="center" vertical="center"/>
    </xf>
    <xf numFmtId="44" fontId="8" fillId="7" borderId="2" xfId="5" applyFont="1" applyFill="1" applyBorder="1" applyAlignment="1">
      <alignment horizontal="left" vertical="center"/>
    </xf>
    <xf numFmtId="44" fontId="8" fillId="7" borderId="8" xfId="5" applyFont="1" applyFill="1" applyBorder="1" applyAlignment="1">
      <alignment horizontal="left" vertical="center"/>
    </xf>
    <xf numFmtId="44" fontId="8" fillId="7" borderId="2" xfId="5" applyFont="1" applyFill="1" applyBorder="1" applyAlignment="1">
      <alignment horizontal="center" vertical="center"/>
    </xf>
    <xf numFmtId="44" fontId="8" fillId="7" borderId="8" xfId="5" applyFont="1" applyFill="1" applyBorder="1" applyAlignment="1">
      <alignment horizontal="center" vertical="center"/>
    </xf>
    <xf numFmtId="0" fontId="26" fillId="0" borderId="9" xfId="0" applyFont="1" applyBorder="1" applyAlignment="1">
      <alignment horizontal="center"/>
    </xf>
    <xf numFmtId="0" fontId="26" fillId="0" borderId="11" xfId="0" applyFont="1" applyBorder="1" applyAlignment="1">
      <alignment horizontal="center"/>
    </xf>
    <xf numFmtId="0" fontId="11" fillId="5" borderId="12" xfId="0" applyFont="1" applyFill="1" applyBorder="1" applyAlignment="1">
      <alignment horizontal="center" vertical="center" wrapText="1"/>
    </xf>
    <xf numFmtId="0" fontId="11" fillId="5" borderId="14" xfId="0" applyFont="1" applyFill="1" applyBorder="1" applyAlignment="1">
      <alignment horizontal="center" vertical="center" wrapText="1"/>
    </xf>
    <xf numFmtId="0" fontId="11" fillId="5" borderId="13" xfId="0" applyFont="1" applyFill="1" applyBorder="1" applyAlignment="1">
      <alignment horizontal="center" vertical="center" wrapText="1"/>
    </xf>
    <xf numFmtId="0" fontId="11" fillId="5" borderId="9" xfId="0" applyFont="1" applyFill="1" applyBorder="1" applyAlignment="1">
      <alignment horizontal="center"/>
    </xf>
    <xf numFmtId="0" fontId="11" fillId="5" borderId="10" xfId="0" applyFont="1" applyFill="1" applyBorder="1" applyAlignment="1">
      <alignment horizontal="center"/>
    </xf>
    <xf numFmtId="0" fontId="11" fillId="5" borderId="11" xfId="0" applyFont="1" applyFill="1" applyBorder="1" applyAlignment="1">
      <alignment horizontal="center"/>
    </xf>
    <xf numFmtId="9" fontId="11" fillId="5" borderId="12" xfId="3" applyNumberFormat="1" applyFont="1" applyFill="1" applyBorder="1" applyAlignment="1">
      <alignment horizontal="center" vertical="center"/>
    </xf>
    <xf numFmtId="9" fontId="11" fillId="5" borderId="13" xfId="3" applyNumberFormat="1" applyFont="1" applyFill="1" applyBorder="1" applyAlignment="1">
      <alignment horizontal="center" vertical="center"/>
    </xf>
    <xf numFmtId="44" fontId="11" fillId="5" borderId="12" xfId="5" applyFont="1" applyFill="1" applyBorder="1" applyAlignment="1">
      <alignment horizontal="center" vertical="center" wrapText="1"/>
    </xf>
    <xf numFmtId="44" fontId="11" fillId="5" borderId="14" xfId="5" applyFont="1" applyFill="1" applyBorder="1" applyAlignment="1">
      <alignment horizontal="center" vertical="center" wrapText="1"/>
    </xf>
    <xf numFmtId="44" fontId="11" fillId="5" borderId="13" xfId="5" applyFont="1" applyFill="1" applyBorder="1" applyAlignment="1">
      <alignment horizontal="center" vertical="center" wrapText="1"/>
    </xf>
    <xf numFmtId="0" fontId="11" fillId="5" borderId="1" xfId="0" applyFont="1" applyFill="1" applyBorder="1" applyAlignment="1">
      <alignment horizontal="center" vertical="center" wrapText="1"/>
    </xf>
    <xf numFmtId="0" fontId="11" fillId="5" borderId="3"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11" fillId="5" borderId="6" xfId="0" applyFont="1" applyFill="1" applyBorder="1" applyAlignment="1">
      <alignment horizontal="center" vertical="center" wrapText="1"/>
    </xf>
    <xf numFmtId="0" fontId="11" fillId="5" borderId="7" xfId="0" applyFont="1" applyFill="1" applyBorder="1" applyAlignment="1">
      <alignment horizontal="center" vertical="center" wrapText="1"/>
    </xf>
    <xf numFmtId="0" fontId="11" fillId="5" borderId="4" xfId="0" applyFont="1" applyFill="1" applyBorder="1" applyAlignment="1">
      <alignment horizontal="center" vertical="center" wrapText="1"/>
    </xf>
    <xf numFmtId="44" fontId="8" fillId="7" borderId="3" xfId="5" applyFont="1" applyFill="1" applyBorder="1" applyAlignment="1">
      <alignment horizontal="center" vertical="center"/>
    </xf>
    <xf numFmtId="44" fontId="8" fillId="7" borderId="4" xfId="5" applyFont="1" applyFill="1" applyBorder="1" applyAlignment="1">
      <alignment horizontal="center" vertical="center"/>
    </xf>
    <xf numFmtId="0" fontId="4" fillId="4" borderId="1" xfId="1" applyFont="1" applyFill="1" applyBorder="1" applyAlignment="1">
      <alignment horizontal="center" vertical="center"/>
    </xf>
    <xf numFmtId="0" fontId="4" fillId="4" borderId="2" xfId="1" applyFont="1" applyFill="1" applyBorder="1" applyAlignment="1">
      <alignment horizontal="center" vertical="center"/>
    </xf>
    <xf numFmtId="0" fontId="4" fillId="4" borderId="3" xfId="1" applyFont="1" applyFill="1" applyBorder="1" applyAlignment="1">
      <alignment horizontal="center" vertical="center"/>
    </xf>
    <xf numFmtId="0" fontId="4" fillId="4" borderId="5" xfId="1" applyFont="1" applyFill="1" applyBorder="1" applyAlignment="1">
      <alignment horizontal="center" vertical="center"/>
    </xf>
    <xf numFmtId="0" fontId="4" fillId="4" borderId="0" xfId="1" applyFont="1" applyFill="1" applyBorder="1" applyAlignment="1">
      <alignment horizontal="center" vertical="center"/>
    </xf>
    <xf numFmtId="0" fontId="4" fillId="4" borderId="6" xfId="1" applyFont="1" applyFill="1" applyBorder="1" applyAlignment="1">
      <alignment horizontal="center" vertical="center"/>
    </xf>
    <xf numFmtId="0" fontId="6" fillId="5" borderId="9" xfId="1" applyFont="1" applyFill="1" applyBorder="1" applyAlignment="1">
      <alignment horizontal="left" vertical="center"/>
    </xf>
    <xf numFmtId="0" fontId="6" fillId="5" borderId="11" xfId="1" applyFont="1" applyFill="1" applyBorder="1" applyAlignment="1">
      <alignment horizontal="left" vertical="center"/>
    </xf>
    <xf numFmtId="0" fontId="6" fillId="5" borderId="7" xfId="1" applyFont="1" applyFill="1" applyBorder="1" applyAlignment="1">
      <alignment horizontal="left" vertical="center"/>
    </xf>
    <xf numFmtId="0" fontId="6" fillId="5" borderId="8" xfId="1" applyFont="1" applyFill="1" applyBorder="1" applyAlignment="1">
      <alignment horizontal="left" vertical="center"/>
    </xf>
    <xf numFmtId="0" fontId="7" fillId="6" borderId="9" xfId="1" applyFont="1" applyFill="1" applyBorder="1" applyAlignment="1">
      <alignment horizontal="left" vertical="center"/>
    </xf>
    <xf numFmtId="0" fontId="7" fillId="6" borderId="10" xfId="1" applyFont="1" applyFill="1" applyBorder="1" applyAlignment="1">
      <alignment horizontal="left" vertical="center"/>
    </xf>
    <xf numFmtId="0" fontId="7" fillId="6" borderId="11" xfId="1" applyFont="1" applyFill="1" applyBorder="1" applyAlignment="1">
      <alignment horizontal="left" vertical="center"/>
    </xf>
    <xf numFmtId="0" fontId="7" fillId="6" borderId="2" xfId="1" applyFont="1" applyFill="1" applyBorder="1" applyAlignment="1">
      <alignment horizontal="left" vertical="center"/>
    </xf>
    <xf numFmtId="0" fontId="7" fillId="6" borderId="3" xfId="1" applyFont="1" applyFill="1" applyBorder="1" applyAlignment="1">
      <alignment horizontal="left" vertical="center"/>
    </xf>
    <xf numFmtId="164" fontId="7" fillId="6" borderId="9" xfId="1" applyNumberFormat="1" applyFont="1" applyFill="1" applyBorder="1" applyAlignment="1">
      <alignment horizontal="left" vertical="center"/>
    </xf>
    <xf numFmtId="164" fontId="7" fillId="6" borderId="10" xfId="1" applyNumberFormat="1" applyFont="1" applyFill="1" applyBorder="1" applyAlignment="1">
      <alignment horizontal="left" vertical="center"/>
    </xf>
    <xf numFmtId="164" fontId="7" fillId="6" borderId="11" xfId="1" applyNumberFormat="1" applyFont="1" applyFill="1" applyBorder="1" applyAlignment="1">
      <alignment horizontal="left" vertical="center"/>
    </xf>
    <xf numFmtId="0" fontId="6" fillId="5" borderId="1" xfId="0" applyFont="1" applyFill="1" applyBorder="1" applyAlignment="1">
      <alignment horizontal="center" vertical="center"/>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6" fillId="5" borderId="7" xfId="0" applyFont="1" applyFill="1" applyBorder="1" applyAlignment="1">
      <alignment horizontal="center" vertical="center"/>
    </xf>
    <xf numFmtId="0" fontId="6" fillId="5" borderId="8" xfId="0" applyFont="1" applyFill="1" applyBorder="1" applyAlignment="1">
      <alignment horizontal="center" vertical="center"/>
    </xf>
    <xf numFmtId="0" fontId="6" fillId="5" borderId="4" xfId="0" applyFont="1" applyFill="1" applyBorder="1" applyAlignment="1">
      <alignment horizontal="center" vertical="center"/>
    </xf>
    <xf numFmtId="2" fontId="8" fillId="7" borderId="1" xfId="4" applyNumberFormat="1" applyFont="1" applyFill="1" applyBorder="1" applyAlignment="1">
      <alignment horizontal="right" vertical="center"/>
    </xf>
    <xf numFmtId="2" fontId="8" fillId="7" borderId="2" xfId="4" applyNumberFormat="1" applyFont="1" applyFill="1" applyBorder="1" applyAlignment="1">
      <alignment horizontal="right" vertical="center"/>
    </xf>
    <xf numFmtId="2" fontId="8" fillId="7" borderId="7" xfId="4" applyNumberFormat="1" applyFont="1" applyFill="1" applyBorder="1" applyAlignment="1">
      <alignment horizontal="right" vertical="center"/>
    </xf>
    <xf numFmtId="2" fontId="8" fillId="7" borderId="8" xfId="4" applyNumberFormat="1" applyFont="1" applyFill="1" applyBorder="1" applyAlignment="1">
      <alignment horizontal="right" vertical="center"/>
    </xf>
    <xf numFmtId="0" fontId="8" fillId="7" borderId="1" xfId="0" applyFont="1" applyFill="1" applyBorder="1" applyAlignment="1">
      <alignment horizontal="center" vertical="center"/>
    </xf>
    <xf numFmtId="0" fontId="8" fillId="7" borderId="2" xfId="0" applyFont="1" applyFill="1" applyBorder="1" applyAlignment="1">
      <alignment horizontal="center" vertical="center"/>
    </xf>
    <xf numFmtId="0" fontId="8" fillId="7" borderId="3" xfId="0" applyFont="1" applyFill="1" applyBorder="1" applyAlignment="1">
      <alignment horizontal="center" vertical="center"/>
    </xf>
    <xf numFmtId="0" fontId="8" fillId="7" borderId="7" xfId="0" applyFont="1" applyFill="1" applyBorder="1" applyAlignment="1">
      <alignment horizontal="center" vertical="center"/>
    </xf>
    <xf numFmtId="0" fontId="8" fillId="7" borderId="8" xfId="0" applyFont="1" applyFill="1" applyBorder="1" applyAlignment="1">
      <alignment horizontal="center" vertical="center"/>
    </xf>
    <xf numFmtId="0" fontId="8" fillId="7" borderId="4" xfId="0" applyFont="1" applyFill="1" applyBorder="1" applyAlignment="1">
      <alignment horizontal="center" vertical="center"/>
    </xf>
    <xf numFmtId="0" fontId="26" fillId="0" borderId="9" xfId="0" applyFont="1" applyBorder="1" applyAlignment="1">
      <alignment horizontal="center" vertical="center" wrapText="1"/>
    </xf>
    <xf numFmtId="0" fontId="26" fillId="0" borderId="11" xfId="0" applyFont="1" applyBorder="1" applyAlignment="1">
      <alignment horizontal="center" vertical="center" wrapText="1"/>
    </xf>
    <xf numFmtId="0" fontId="26" fillId="0" borderId="1" xfId="0" applyFont="1" applyBorder="1" applyAlignment="1">
      <alignment horizontal="center" wrapText="1"/>
    </xf>
    <xf numFmtId="0" fontId="26" fillId="0" borderId="3" xfId="0" applyFont="1" applyBorder="1" applyAlignment="1">
      <alignment horizontal="center" wrapText="1"/>
    </xf>
    <xf numFmtId="0" fontId="26" fillId="0" borderId="9" xfId="0" applyFont="1" applyBorder="1" applyAlignment="1">
      <alignment horizontal="center" wrapText="1"/>
    </xf>
    <xf numFmtId="0" fontId="26" fillId="0" borderId="11" xfId="0" applyFont="1" applyBorder="1" applyAlignment="1">
      <alignment horizontal="center" wrapText="1"/>
    </xf>
  </cellXfs>
  <cellStyles count="9">
    <cellStyle name="Buena" xfId="3" builtinId="26"/>
    <cellStyle name="Moneda" xfId="5" builtinId="4"/>
    <cellStyle name="Moneda 2" xfId="2"/>
    <cellStyle name="Moneda 3" xfId="7"/>
    <cellStyle name="Normal" xfId="0" builtinId="0"/>
    <cellStyle name="Normal 2" xfId="1"/>
    <cellStyle name="Normal 3" xfId="6"/>
    <cellStyle name="Porcentaje" xfId="4" builtinId="5"/>
    <cellStyle name="Texto explicativo 2" xfId="8"/>
  </cellStyles>
  <dxfs count="0"/>
  <tableStyles count="0" defaultTableStyle="TableStyleMedium9" defaultPivotStyle="PivotStyleLight16"/>
  <colors>
    <mruColors>
      <color rgb="FFADADAD"/>
      <color rgb="FF4D4D4D"/>
      <color rgb="FF91D122"/>
      <color rgb="FF2670CA"/>
      <color rgb="FFB7DEE8"/>
      <color rgb="FFBFBFBF"/>
      <color rgb="FFC5D9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hyperlink" Target="#GRIPPER!A1"/><Relationship Id="rId3" Type="http://schemas.openxmlformats.org/officeDocument/2006/relationships/hyperlink" Target="#COLUMNA!A1"/><Relationship Id="rId7" Type="http://schemas.openxmlformats.org/officeDocument/2006/relationships/image" Target="../media/image3.png"/><Relationship Id="rId2" Type="http://schemas.openxmlformats.org/officeDocument/2006/relationships/image" Target="../media/image1.jpeg"/><Relationship Id="rId1" Type="http://schemas.openxmlformats.org/officeDocument/2006/relationships/hyperlink" Target="#FRENOS!A1"/><Relationship Id="rId6" Type="http://schemas.openxmlformats.org/officeDocument/2006/relationships/hyperlink" Target="#ANTEBRAZO!A1"/><Relationship Id="rId11" Type="http://schemas.openxmlformats.org/officeDocument/2006/relationships/hyperlink" Target="#TORNILLER&#205;A!A1"/><Relationship Id="rId5" Type="http://schemas.openxmlformats.org/officeDocument/2006/relationships/image" Target="../media/image2.jpeg"/><Relationship Id="rId10" Type="http://schemas.openxmlformats.org/officeDocument/2006/relationships/hyperlink" Target="#ACCESORIOS!A1"/><Relationship Id="rId4" Type="http://schemas.openxmlformats.org/officeDocument/2006/relationships/hyperlink" Target="#BRAZO!A1"/><Relationship Id="rId9" Type="http://schemas.openxmlformats.org/officeDocument/2006/relationships/hyperlink" Target="#NEUMATICA!A1"/></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png"/><Relationship Id="rId7" Type="http://schemas.openxmlformats.org/officeDocument/2006/relationships/image" Target="../media/image9.png"/><Relationship Id="rId12" Type="http://schemas.openxmlformats.org/officeDocument/2006/relationships/image" Target="../media/image14.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5" Type="http://schemas.openxmlformats.org/officeDocument/2006/relationships/image" Target="../media/image7.pn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28964</xdr:colOff>
      <xdr:row>10</xdr:row>
      <xdr:rowOff>40822</xdr:rowOff>
    </xdr:from>
    <xdr:to>
      <xdr:col>0</xdr:col>
      <xdr:colOff>522147</xdr:colOff>
      <xdr:row>10</xdr:row>
      <xdr:rowOff>496272</xdr:rowOff>
    </xdr:to>
    <xdr:pic>
      <xdr:nvPicPr>
        <xdr:cNvPr id="3" name="2 Imagen" descr="imagesboton.jp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136974" y="2441511"/>
          <a:ext cx="493183" cy="455450"/>
        </a:xfrm>
        <a:prstGeom prst="rect">
          <a:avLst/>
        </a:prstGeom>
      </xdr:spPr>
    </xdr:pic>
    <xdr:clientData/>
  </xdr:twoCellAnchor>
  <xdr:twoCellAnchor editAs="oneCell">
    <xdr:from>
      <xdr:col>0</xdr:col>
      <xdr:colOff>19052</xdr:colOff>
      <xdr:row>12</xdr:row>
      <xdr:rowOff>31102</xdr:rowOff>
    </xdr:from>
    <xdr:to>
      <xdr:col>0</xdr:col>
      <xdr:colOff>512235</xdr:colOff>
      <xdr:row>12</xdr:row>
      <xdr:rowOff>486941</xdr:rowOff>
    </xdr:to>
    <xdr:pic>
      <xdr:nvPicPr>
        <xdr:cNvPr id="4" name="3 Imagen" descr="imagesboton.jpg">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1127062" y="3306536"/>
          <a:ext cx="493183" cy="455839"/>
        </a:xfrm>
        <a:prstGeom prst="rect">
          <a:avLst/>
        </a:prstGeom>
      </xdr:spPr>
    </xdr:pic>
    <xdr:clientData/>
  </xdr:twoCellAnchor>
  <xdr:twoCellAnchor editAs="oneCell">
    <xdr:from>
      <xdr:col>0</xdr:col>
      <xdr:colOff>28771</xdr:colOff>
      <xdr:row>14</xdr:row>
      <xdr:rowOff>40044</xdr:rowOff>
    </xdr:from>
    <xdr:to>
      <xdr:col>0</xdr:col>
      <xdr:colOff>521954</xdr:colOff>
      <xdr:row>14</xdr:row>
      <xdr:rowOff>475862</xdr:rowOff>
    </xdr:to>
    <xdr:pic>
      <xdr:nvPicPr>
        <xdr:cNvPr id="5" name="4 Imagen" descr="imagesboton.jpg">
          <a:hlinkClick xmlns:r="http://schemas.openxmlformats.org/officeDocument/2006/relationships" r:id="rId4"/>
        </xdr:cNvPr>
        <xdr:cNvPicPr>
          <a:picLocks noChangeAspect="1"/>
        </xdr:cNvPicPr>
      </xdr:nvPicPr>
      <xdr:blipFill>
        <a:blip xmlns:r="http://schemas.openxmlformats.org/officeDocument/2006/relationships" r:embed="rId5" cstate="print"/>
        <a:stretch>
          <a:fillRect/>
        </a:stretch>
      </xdr:blipFill>
      <xdr:spPr>
        <a:xfrm>
          <a:off x="1136781" y="4238820"/>
          <a:ext cx="493183" cy="435818"/>
        </a:xfrm>
        <a:prstGeom prst="rect">
          <a:avLst/>
        </a:prstGeom>
      </xdr:spPr>
    </xdr:pic>
    <xdr:clientData/>
  </xdr:twoCellAnchor>
  <xdr:twoCellAnchor editAs="oneCell">
    <xdr:from>
      <xdr:col>0</xdr:col>
      <xdr:colOff>19052</xdr:colOff>
      <xdr:row>16</xdr:row>
      <xdr:rowOff>59484</xdr:rowOff>
    </xdr:from>
    <xdr:to>
      <xdr:col>0</xdr:col>
      <xdr:colOff>512235</xdr:colOff>
      <xdr:row>16</xdr:row>
      <xdr:rowOff>495301</xdr:rowOff>
    </xdr:to>
    <xdr:pic>
      <xdr:nvPicPr>
        <xdr:cNvPr id="6" name="5 Imagen" descr="imagesboton.jpg">
          <a:hlinkClick xmlns:r="http://schemas.openxmlformats.org/officeDocument/2006/relationships" r:id="rId6"/>
        </xdr:cNvPr>
        <xdr:cNvPicPr>
          <a:picLocks noChangeAspect="1"/>
        </xdr:cNvPicPr>
      </xdr:nvPicPr>
      <xdr:blipFill>
        <a:blip xmlns:r="http://schemas.openxmlformats.org/officeDocument/2006/relationships" r:embed="rId5" cstate="print"/>
        <a:stretch>
          <a:fillRect/>
        </a:stretch>
      </xdr:blipFill>
      <xdr:spPr>
        <a:xfrm>
          <a:off x="1127062" y="5181601"/>
          <a:ext cx="493183" cy="435817"/>
        </a:xfrm>
        <a:prstGeom prst="rect">
          <a:avLst/>
        </a:prstGeom>
      </xdr:spPr>
    </xdr:pic>
    <xdr:clientData/>
  </xdr:twoCellAnchor>
  <xdr:twoCellAnchor editAs="oneCell">
    <xdr:from>
      <xdr:col>0</xdr:col>
      <xdr:colOff>1</xdr:colOff>
      <xdr:row>0</xdr:row>
      <xdr:rowOff>0</xdr:rowOff>
    </xdr:from>
    <xdr:to>
      <xdr:col>3</xdr:col>
      <xdr:colOff>1273241</xdr:colOff>
      <xdr:row>2</xdr:row>
      <xdr:rowOff>442883</xdr:rowOff>
    </xdr:to>
    <xdr:pic>
      <xdr:nvPicPr>
        <xdr:cNvPr id="2" name="Imagen 1"/>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14881" t="34392" r="4125" b="35563"/>
        <a:stretch/>
      </xdr:blipFill>
      <xdr:spPr>
        <a:xfrm>
          <a:off x="1" y="0"/>
          <a:ext cx="4451480" cy="928852"/>
        </a:xfrm>
        <a:prstGeom prst="rect">
          <a:avLst/>
        </a:prstGeom>
        <a:ln w="19050">
          <a:solidFill>
            <a:schemeClr val="tx1"/>
          </a:solidFill>
        </a:ln>
      </xdr:spPr>
    </xdr:pic>
    <xdr:clientData/>
  </xdr:twoCellAnchor>
  <xdr:oneCellAnchor>
    <xdr:from>
      <xdr:col>0</xdr:col>
      <xdr:colOff>19052</xdr:colOff>
      <xdr:row>18</xdr:row>
      <xdr:rowOff>59484</xdr:rowOff>
    </xdr:from>
    <xdr:ext cx="493183" cy="435817"/>
    <xdr:pic>
      <xdr:nvPicPr>
        <xdr:cNvPr id="7" name="5 Imagen" descr="imagesboton.jpg">
          <a:hlinkClick xmlns:r="http://schemas.openxmlformats.org/officeDocument/2006/relationships" r:id="rId8"/>
        </xdr:cNvPr>
        <xdr:cNvPicPr>
          <a:picLocks noChangeAspect="1"/>
        </xdr:cNvPicPr>
      </xdr:nvPicPr>
      <xdr:blipFill>
        <a:blip xmlns:r="http://schemas.openxmlformats.org/officeDocument/2006/relationships" r:embed="rId5" cstate="print"/>
        <a:stretch>
          <a:fillRect/>
        </a:stretch>
      </xdr:blipFill>
      <xdr:spPr>
        <a:xfrm>
          <a:off x="19052" y="4744229"/>
          <a:ext cx="493183" cy="435817"/>
        </a:xfrm>
        <a:prstGeom prst="rect">
          <a:avLst/>
        </a:prstGeom>
      </xdr:spPr>
    </xdr:pic>
    <xdr:clientData/>
  </xdr:oneCellAnchor>
  <xdr:oneCellAnchor>
    <xdr:from>
      <xdr:col>0</xdr:col>
      <xdr:colOff>58316</xdr:colOff>
      <xdr:row>20</xdr:row>
      <xdr:rowOff>58316</xdr:rowOff>
    </xdr:from>
    <xdr:ext cx="493183" cy="435817"/>
    <xdr:pic>
      <xdr:nvPicPr>
        <xdr:cNvPr id="8" name="5 Imagen" descr="imagesboton.jpg">
          <a:hlinkClick xmlns:r="http://schemas.openxmlformats.org/officeDocument/2006/relationships" r:id="rId9"/>
        </xdr:cNvPr>
        <xdr:cNvPicPr>
          <a:picLocks noChangeAspect="1"/>
        </xdr:cNvPicPr>
      </xdr:nvPicPr>
      <xdr:blipFill>
        <a:blip xmlns:r="http://schemas.openxmlformats.org/officeDocument/2006/relationships" r:embed="rId5" cstate="print"/>
        <a:stretch>
          <a:fillRect/>
        </a:stretch>
      </xdr:blipFill>
      <xdr:spPr>
        <a:xfrm>
          <a:off x="58316" y="7192347"/>
          <a:ext cx="493183" cy="435817"/>
        </a:xfrm>
        <a:prstGeom prst="rect">
          <a:avLst/>
        </a:prstGeom>
      </xdr:spPr>
    </xdr:pic>
    <xdr:clientData/>
  </xdr:oneCellAnchor>
  <xdr:oneCellAnchor>
    <xdr:from>
      <xdr:col>0</xdr:col>
      <xdr:colOff>29158</xdr:colOff>
      <xdr:row>22</xdr:row>
      <xdr:rowOff>87475</xdr:rowOff>
    </xdr:from>
    <xdr:ext cx="493183" cy="435817"/>
    <xdr:pic>
      <xdr:nvPicPr>
        <xdr:cNvPr id="9" name="5 Imagen" descr="imagesboton.jpg">
          <a:hlinkClick xmlns:r="http://schemas.openxmlformats.org/officeDocument/2006/relationships" r:id="rId10"/>
        </xdr:cNvPr>
        <xdr:cNvPicPr>
          <a:picLocks noChangeAspect="1"/>
        </xdr:cNvPicPr>
      </xdr:nvPicPr>
      <xdr:blipFill>
        <a:blip xmlns:r="http://schemas.openxmlformats.org/officeDocument/2006/relationships" r:embed="rId5" cstate="print"/>
        <a:stretch>
          <a:fillRect/>
        </a:stretch>
      </xdr:blipFill>
      <xdr:spPr>
        <a:xfrm>
          <a:off x="29158" y="7999057"/>
          <a:ext cx="493183" cy="435817"/>
        </a:xfrm>
        <a:prstGeom prst="rect">
          <a:avLst/>
        </a:prstGeom>
      </xdr:spPr>
    </xdr:pic>
    <xdr:clientData/>
  </xdr:oneCellAnchor>
  <xdr:oneCellAnchor>
    <xdr:from>
      <xdr:col>0</xdr:col>
      <xdr:colOff>6609</xdr:colOff>
      <xdr:row>24</xdr:row>
      <xdr:rowOff>16329</xdr:rowOff>
    </xdr:from>
    <xdr:ext cx="493183" cy="435817"/>
    <xdr:pic>
      <xdr:nvPicPr>
        <xdr:cNvPr id="10" name="5 Imagen" descr="imagesboton.jpg">
          <a:hlinkClick xmlns:r="http://schemas.openxmlformats.org/officeDocument/2006/relationships" r:id="rId11"/>
        </xdr:cNvPr>
        <xdr:cNvPicPr>
          <a:picLocks noChangeAspect="1"/>
        </xdr:cNvPicPr>
      </xdr:nvPicPr>
      <xdr:blipFill>
        <a:blip xmlns:r="http://schemas.openxmlformats.org/officeDocument/2006/relationships" r:embed="rId5" cstate="print"/>
        <a:stretch>
          <a:fillRect/>
        </a:stretch>
      </xdr:blipFill>
      <xdr:spPr>
        <a:xfrm>
          <a:off x="6609" y="8763778"/>
          <a:ext cx="493183" cy="435817"/>
        </a:xfrm>
        <a:prstGeom prst="rect">
          <a:avLst/>
        </a:prstGeom>
      </xdr:spPr>
    </xdr:pic>
    <xdr:clientData/>
  </xdr:oneCellAnchor>
  <xdr:twoCellAnchor>
    <xdr:from>
      <xdr:col>5</xdr:col>
      <xdr:colOff>129267</xdr:colOff>
      <xdr:row>7</xdr:row>
      <xdr:rowOff>190500</xdr:rowOff>
    </xdr:from>
    <xdr:to>
      <xdr:col>5</xdr:col>
      <xdr:colOff>1309688</xdr:colOff>
      <xdr:row>9</xdr:row>
      <xdr:rowOff>47626</xdr:rowOff>
    </xdr:to>
    <xdr:sp macro="[0]!Guardarcori" textlink="">
      <xdr:nvSpPr>
        <xdr:cNvPr id="11" name="CuadroTexto 10"/>
        <xdr:cNvSpPr txBox="1"/>
      </xdr:nvSpPr>
      <xdr:spPr>
        <a:xfrm>
          <a:off x="6427673" y="2393156"/>
          <a:ext cx="1180421" cy="714376"/>
        </a:xfrm>
        <a:prstGeom prst="round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pPr algn="ctr"/>
          <a:r>
            <a:rPr lang="es-MX" sz="1100" b="1">
              <a:latin typeface="Yu Gothic" panose="020B0400000000000000" pitchFamily="34" charset="-128"/>
              <a:ea typeface="Yu Gothic" panose="020B0400000000000000" pitchFamily="34" charset="-128"/>
            </a:rPr>
            <a:t>CONFIRMAR</a:t>
          </a:r>
          <a:r>
            <a:rPr lang="es-MX" sz="1100" b="1" baseline="0">
              <a:latin typeface="Yu Gothic" panose="020B0400000000000000" pitchFamily="34" charset="-128"/>
              <a:ea typeface="Yu Gothic" panose="020B0400000000000000" pitchFamily="34" charset="-128"/>
            </a:rPr>
            <a:t> </a:t>
          </a:r>
          <a:r>
            <a:rPr lang="es-MX" sz="1200" b="1" baseline="0">
              <a:latin typeface="Yu Gothic" panose="020B0400000000000000" pitchFamily="34" charset="-128"/>
              <a:ea typeface="Yu Gothic" panose="020B0400000000000000" pitchFamily="34" charset="-128"/>
            </a:rPr>
            <a:t>CORI</a:t>
          </a:r>
          <a:endParaRPr lang="es-MX" sz="1100" b="1">
            <a:latin typeface="Yu Gothic" panose="020B0400000000000000" pitchFamily="34" charset="-128"/>
            <a:ea typeface="Yu Gothic" panose="020B0400000000000000" pitchFamily="34" charset="-128"/>
          </a:endParaRPr>
        </a:p>
      </xdr:txBody>
    </xdr:sp>
    <xdr:clientData/>
  </xdr:twoCellAnchor>
  <xdr:twoCellAnchor>
    <xdr:from>
      <xdr:col>5</xdr:col>
      <xdr:colOff>1381126</xdr:colOff>
      <xdr:row>7</xdr:row>
      <xdr:rowOff>190501</xdr:rowOff>
    </xdr:from>
    <xdr:to>
      <xdr:col>8</xdr:col>
      <xdr:colOff>357188</xdr:colOff>
      <xdr:row>9</xdr:row>
      <xdr:rowOff>47625</xdr:rowOff>
    </xdr:to>
    <xdr:sp macro="[0]!guardarcobhan" textlink="">
      <xdr:nvSpPr>
        <xdr:cNvPr id="12" name="CuadroTexto 11"/>
        <xdr:cNvSpPr txBox="1"/>
      </xdr:nvSpPr>
      <xdr:spPr>
        <a:xfrm>
          <a:off x="7679532" y="2393157"/>
          <a:ext cx="1166812" cy="714374"/>
        </a:xfrm>
        <a:prstGeom prst="roundRect">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t"/>
        <a:lstStyle/>
        <a:p>
          <a:pPr algn="ctr"/>
          <a:r>
            <a:rPr lang="es-MX" sz="1100" b="1">
              <a:latin typeface="Yu Gothic" panose="020B0400000000000000" pitchFamily="34" charset="-128"/>
              <a:ea typeface="Yu Gothic" panose="020B0400000000000000" pitchFamily="34" charset="-128"/>
            </a:rPr>
            <a:t>CONFIRMAR</a:t>
          </a:r>
          <a:r>
            <a:rPr lang="es-MX" sz="1100" b="1" baseline="0">
              <a:latin typeface="Yu Gothic" panose="020B0400000000000000" pitchFamily="34" charset="-128"/>
              <a:ea typeface="Yu Gothic" panose="020B0400000000000000" pitchFamily="34" charset="-128"/>
            </a:rPr>
            <a:t> </a:t>
          </a:r>
          <a:r>
            <a:rPr lang="es-MX" sz="1200" b="1" baseline="0">
              <a:latin typeface="Yu Gothic" panose="020B0400000000000000" pitchFamily="34" charset="-128"/>
              <a:ea typeface="Yu Gothic" panose="020B0400000000000000" pitchFamily="34" charset="-128"/>
            </a:rPr>
            <a:t>COBHAN</a:t>
          </a:r>
          <a:endParaRPr lang="es-MX" sz="1100" b="1">
            <a:latin typeface="Yu Gothic" panose="020B0400000000000000" pitchFamily="34" charset="-128"/>
            <a:ea typeface="Yu Gothic" panose="020B0400000000000000" pitchFamily="34" charset="-128"/>
          </a:endParaRPr>
        </a:p>
      </xdr:txBody>
    </xdr:sp>
    <xdr:clientData/>
  </xdr:twoCellAnchor>
  <xdr:twoCellAnchor>
    <xdr:from>
      <xdr:col>8</xdr:col>
      <xdr:colOff>428626</xdr:colOff>
      <xdr:row>7</xdr:row>
      <xdr:rowOff>176213</xdr:rowOff>
    </xdr:from>
    <xdr:to>
      <xdr:col>9</xdr:col>
      <xdr:colOff>1</xdr:colOff>
      <xdr:row>9</xdr:row>
      <xdr:rowOff>35718</xdr:rowOff>
    </xdr:to>
    <xdr:sp macro="[0]!guardarcrte" textlink="">
      <xdr:nvSpPr>
        <xdr:cNvPr id="13" name="CuadroTexto 12"/>
        <xdr:cNvSpPr txBox="1"/>
      </xdr:nvSpPr>
      <xdr:spPr>
        <a:xfrm>
          <a:off x="8917782" y="2378869"/>
          <a:ext cx="1190625" cy="716755"/>
        </a:xfrm>
        <a:prstGeom prst="round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s-MX" sz="1100" b="1">
              <a:latin typeface="Yu Gothic" panose="020B0400000000000000" pitchFamily="34" charset="-128"/>
              <a:ea typeface="Yu Gothic" panose="020B0400000000000000" pitchFamily="34" charset="-128"/>
            </a:rPr>
            <a:t>CONFIRMAR</a:t>
          </a:r>
          <a:r>
            <a:rPr lang="es-MX" sz="1100" b="1" baseline="0">
              <a:latin typeface="Yu Gothic" panose="020B0400000000000000" pitchFamily="34" charset="-128"/>
              <a:ea typeface="Yu Gothic" panose="020B0400000000000000" pitchFamily="34" charset="-128"/>
            </a:rPr>
            <a:t> </a:t>
          </a:r>
          <a:r>
            <a:rPr lang="es-MX" sz="1400" b="1" baseline="0">
              <a:latin typeface="Yu Gothic" panose="020B0400000000000000" pitchFamily="34" charset="-128"/>
              <a:ea typeface="Yu Gothic" panose="020B0400000000000000" pitchFamily="34" charset="-128"/>
            </a:rPr>
            <a:t>CRTE</a:t>
          </a:r>
          <a:endParaRPr lang="es-MX" sz="1100" b="1">
            <a:latin typeface="Yu Gothic" panose="020B0400000000000000" pitchFamily="34" charset="-128"/>
            <a:ea typeface="Yu Gothic" panose="020B0400000000000000" pitchFamily="34" charset="-128"/>
          </a:endParaRPr>
        </a:p>
      </xdr:txBody>
    </xdr:sp>
    <xdr:clientData/>
  </xdr:twoCellAnchor>
  <xdr:oneCellAnchor>
    <xdr:from>
      <xdr:col>12</xdr:col>
      <xdr:colOff>428625</xdr:colOff>
      <xdr:row>7</xdr:row>
      <xdr:rowOff>47625</xdr:rowOff>
    </xdr:from>
    <xdr:ext cx="184731" cy="264560"/>
    <xdr:sp macro="[0]!BORRAR" textlink="">
      <xdr:nvSpPr>
        <xdr:cNvPr id="14" name="CuadroTexto 13"/>
        <xdr:cNvSpPr txBox="1"/>
      </xdr:nvSpPr>
      <xdr:spPr>
        <a:xfrm>
          <a:off x="12823031" y="225028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MX" sz="1100"/>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237727</xdr:colOff>
      <xdr:row>2</xdr:row>
      <xdr:rowOff>583406</xdr:rowOff>
    </xdr:to>
    <xdr:pic>
      <xdr:nvPicPr>
        <xdr:cNvPr id="28" name="Imagen 27"/>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4881" t="34392" r="4125" b="35563"/>
        <a:stretch/>
      </xdr:blipFill>
      <xdr:spPr>
        <a:xfrm>
          <a:off x="0" y="0"/>
          <a:ext cx="4621873" cy="964406"/>
        </a:xfrm>
        <a:prstGeom prst="rect">
          <a:avLst/>
        </a:prstGeom>
      </xdr:spPr>
    </xdr:pic>
    <xdr:clientData/>
  </xdr:twoCellAnchor>
  <xdr:twoCellAnchor editAs="oneCell">
    <xdr:from>
      <xdr:col>7</xdr:col>
      <xdr:colOff>17318</xdr:colOff>
      <xdr:row>12</xdr:row>
      <xdr:rowOff>173182</xdr:rowOff>
    </xdr:from>
    <xdr:to>
      <xdr:col>8</xdr:col>
      <xdr:colOff>726419</xdr:colOff>
      <xdr:row>12</xdr:row>
      <xdr:rowOff>1004455</xdr:rowOff>
    </xdr:to>
    <xdr:pic>
      <xdr:nvPicPr>
        <xdr:cNvPr id="38" name="Imagen 37"/>
        <xdr:cNvPicPr>
          <a:picLocks noChangeAspect="1"/>
        </xdr:cNvPicPr>
      </xdr:nvPicPr>
      <xdr:blipFill>
        <a:blip xmlns:r="http://schemas.openxmlformats.org/officeDocument/2006/relationships" r:embed="rId2"/>
        <a:stretch>
          <a:fillRect/>
        </a:stretch>
      </xdr:blipFill>
      <xdr:spPr>
        <a:xfrm>
          <a:off x="8087591" y="3740727"/>
          <a:ext cx="1471101" cy="831273"/>
        </a:xfrm>
        <a:prstGeom prst="rect">
          <a:avLst/>
        </a:prstGeom>
      </xdr:spPr>
    </xdr:pic>
    <xdr:clientData/>
  </xdr:twoCellAnchor>
  <xdr:twoCellAnchor editAs="oneCell">
    <xdr:from>
      <xdr:col>7</xdr:col>
      <xdr:colOff>0</xdr:colOff>
      <xdr:row>13</xdr:row>
      <xdr:rowOff>0</xdr:rowOff>
    </xdr:from>
    <xdr:to>
      <xdr:col>9</xdr:col>
      <xdr:colOff>35862</xdr:colOff>
      <xdr:row>14</xdr:row>
      <xdr:rowOff>0</xdr:rowOff>
    </xdr:to>
    <xdr:pic>
      <xdr:nvPicPr>
        <xdr:cNvPr id="39" name="Imagen 38"/>
        <xdr:cNvPicPr>
          <a:picLocks noChangeAspect="1"/>
        </xdr:cNvPicPr>
      </xdr:nvPicPr>
      <xdr:blipFill>
        <a:blip xmlns:r="http://schemas.openxmlformats.org/officeDocument/2006/relationships" r:embed="rId3"/>
        <a:stretch>
          <a:fillRect/>
        </a:stretch>
      </xdr:blipFill>
      <xdr:spPr>
        <a:xfrm>
          <a:off x="8070273" y="4831773"/>
          <a:ext cx="1559862" cy="1264227"/>
        </a:xfrm>
        <a:prstGeom prst="rect">
          <a:avLst/>
        </a:prstGeom>
      </xdr:spPr>
    </xdr:pic>
    <xdr:clientData/>
  </xdr:twoCellAnchor>
  <xdr:twoCellAnchor editAs="oneCell">
    <xdr:from>
      <xdr:col>7</xdr:col>
      <xdr:colOff>294409</xdr:colOff>
      <xdr:row>14</xdr:row>
      <xdr:rowOff>17318</xdr:rowOff>
    </xdr:from>
    <xdr:to>
      <xdr:col>8</xdr:col>
      <xdr:colOff>432954</xdr:colOff>
      <xdr:row>15</xdr:row>
      <xdr:rowOff>22176</xdr:rowOff>
    </xdr:to>
    <xdr:pic>
      <xdr:nvPicPr>
        <xdr:cNvPr id="40" name="Imagen 39"/>
        <xdr:cNvPicPr>
          <a:picLocks noChangeAspect="1"/>
        </xdr:cNvPicPr>
      </xdr:nvPicPr>
      <xdr:blipFill>
        <a:blip xmlns:r="http://schemas.openxmlformats.org/officeDocument/2006/relationships" r:embed="rId4"/>
        <a:stretch>
          <a:fillRect/>
        </a:stretch>
      </xdr:blipFill>
      <xdr:spPr>
        <a:xfrm>
          <a:off x="8364682" y="6113318"/>
          <a:ext cx="900545" cy="1269085"/>
        </a:xfrm>
        <a:prstGeom prst="rect">
          <a:avLst/>
        </a:prstGeom>
      </xdr:spPr>
    </xdr:pic>
    <xdr:clientData/>
  </xdr:twoCellAnchor>
  <xdr:twoCellAnchor editAs="oneCell">
    <xdr:from>
      <xdr:col>7</xdr:col>
      <xdr:colOff>0</xdr:colOff>
      <xdr:row>15</xdr:row>
      <xdr:rowOff>1</xdr:rowOff>
    </xdr:from>
    <xdr:to>
      <xdr:col>8</xdr:col>
      <xdr:colOff>727363</xdr:colOff>
      <xdr:row>15</xdr:row>
      <xdr:rowOff>1255273</xdr:rowOff>
    </xdr:to>
    <xdr:pic>
      <xdr:nvPicPr>
        <xdr:cNvPr id="41" name="Imagen 40"/>
        <xdr:cNvPicPr>
          <a:picLocks noChangeAspect="1"/>
        </xdr:cNvPicPr>
      </xdr:nvPicPr>
      <xdr:blipFill>
        <a:blip xmlns:r="http://schemas.openxmlformats.org/officeDocument/2006/relationships" r:embed="rId5"/>
        <a:stretch>
          <a:fillRect/>
        </a:stretch>
      </xdr:blipFill>
      <xdr:spPr>
        <a:xfrm>
          <a:off x="8070273" y="7360228"/>
          <a:ext cx="1489363" cy="1255272"/>
        </a:xfrm>
        <a:prstGeom prst="rect">
          <a:avLst/>
        </a:prstGeom>
      </xdr:spPr>
    </xdr:pic>
    <xdr:clientData/>
  </xdr:twoCellAnchor>
  <xdr:twoCellAnchor editAs="oneCell">
    <xdr:from>
      <xdr:col>7</xdr:col>
      <xdr:colOff>51954</xdr:colOff>
      <xdr:row>16</xdr:row>
      <xdr:rowOff>0</xdr:rowOff>
    </xdr:from>
    <xdr:to>
      <xdr:col>8</xdr:col>
      <xdr:colOff>700109</xdr:colOff>
      <xdr:row>16</xdr:row>
      <xdr:rowOff>1212272</xdr:rowOff>
    </xdr:to>
    <xdr:pic>
      <xdr:nvPicPr>
        <xdr:cNvPr id="42" name="Imagen 41"/>
        <xdr:cNvPicPr>
          <a:picLocks noChangeAspect="1"/>
        </xdr:cNvPicPr>
      </xdr:nvPicPr>
      <xdr:blipFill>
        <a:blip xmlns:r="http://schemas.openxmlformats.org/officeDocument/2006/relationships" r:embed="rId6"/>
        <a:stretch>
          <a:fillRect/>
        </a:stretch>
      </xdr:blipFill>
      <xdr:spPr>
        <a:xfrm>
          <a:off x="8122227" y="8624455"/>
          <a:ext cx="1410155" cy="1212272"/>
        </a:xfrm>
        <a:prstGeom prst="rect">
          <a:avLst/>
        </a:prstGeom>
      </xdr:spPr>
    </xdr:pic>
    <xdr:clientData/>
  </xdr:twoCellAnchor>
  <xdr:twoCellAnchor editAs="oneCell">
    <xdr:from>
      <xdr:col>7</xdr:col>
      <xdr:colOff>173182</xdr:colOff>
      <xdr:row>17</xdr:row>
      <xdr:rowOff>34637</xdr:rowOff>
    </xdr:from>
    <xdr:to>
      <xdr:col>8</xdr:col>
      <xdr:colOff>571500</xdr:colOff>
      <xdr:row>17</xdr:row>
      <xdr:rowOff>1246910</xdr:rowOff>
    </xdr:to>
    <xdr:pic>
      <xdr:nvPicPr>
        <xdr:cNvPr id="43" name="Imagen 42"/>
        <xdr:cNvPicPr>
          <a:picLocks noChangeAspect="1"/>
        </xdr:cNvPicPr>
      </xdr:nvPicPr>
      <xdr:blipFill>
        <a:blip xmlns:r="http://schemas.openxmlformats.org/officeDocument/2006/relationships" r:embed="rId7"/>
        <a:stretch>
          <a:fillRect/>
        </a:stretch>
      </xdr:blipFill>
      <xdr:spPr>
        <a:xfrm>
          <a:off x="8243455" y="9923319"/>
          <a:ext cx="1160318" cy="1212273"/>
        </a:xfrm>
        <a:prstGeom prst="rect">
          <a:avLst/>
        </a:prstGeom>
      </xdr:spPr>
    </xdr:pic>
    <xdr:clientData/>
  </xdr:twoCellAnchor>
  <xdr:twoCellAnchor editAs="oneCell">
    <xdr:from>
      <xdr:col>7</xdr:col>
      <xdr:colOff>103910</xdr:colOff>
      <xdr:row>18</xdr:row>
      <xdr:rowOff>1</xdr:rowOff>
    </xdr:from>
    <xdr:to>
      <xdr:col>8</xdr:col>
      <xdr:colOff>658092</xdr:colOff>
      <xdr:row>18</xdr:row>
      <xdr:rowOff>1235827</xdr:rowOff>
    </xdr:to>
    <xdr:pic>
      <xdr:nvPicPr>
        <xdr:cNvPr id="44" name="Imagen 43"/>
        <xdr:cNvPicPr>
          <a:picLocks noChangeAspect="1"/>
        </xdr:cNvPicPr>
      </xdr:nvPicPr>
      <xdr:blipFill>
        <a:blip xmlns:r="http://schemas.openxmlformats.org/officeDocument/2006/relationships" r:embed="rId8"/>
        <a:stretch>
          <a:fillRect/>
        </a:stretch>
      </xdr:blipFill>
      <xdr:spPr>
        <a:xfrm>
          <a:off x="8174183" y="11152910"/>
          <a:ext cx="1316182" cy="1235826"/>
        </a:xfrm>
        <a:prstGeom prst="rect">
          <a:avLst/>
        </a:prstGeom>
      </xdr:spPr>
    </xdr:pic>
    <xdr:clientData/>
  </xdr:twoCellAnchor>
  <xdr:twoCellAnchor editAs="oneCell">
    <xdr:from>
      <xdr:col>7</xdr:col>
      <xdr:colOff>329045</xdr:colOff>
      <xdr:row>19</xdr:row>
      <xdr:rowOff>34636</xdr:rowOff>
    </xdr:from>
    <xdr:to>
      <xdr:col>8</xdr:col>
      <xdr:colOff>311727</xdr:colOff>
      <xdr:row>19</xdr:row>
      <xdr:rowOff>1233193</xdr:rowOff>
    </xdr:to>
    <xdr:pic>
      <xdr:nvPicPr>
        <xdr:cNvPr id="45" name="Imagen 44"/>
        <xdr:cNvPicPr>
          <a:picLocks noChangeAspect="1"/>
        </xdr:cNvPicPr>
      </xdr:nvPicPr>
      <xdr:blipFill>
        <a:blip xmlns:r="http://schemas.openxmlformats.org/officeDocument/2006/relationships" r:embed="rId9"/>
        <a:stretch>
          <a:fillRect/>
        </a:stretch>
      </xdr:blipFill>
      <xdr:spPr>
        <a:xfrm>
          <a:off x="8399318" y="12451772"/>
          <a:ext cx="744682" cy="1198557"/>
        </a:xfrm>
        <a:prstGeom prst="rect">
          <a:avLst/>
        </a:prstGeom>
      </xdr:spPr>
    </xdr:pic>
    <xdr:clientData/>
  </xdr:twoCellAnchor>
  <xdr:twoCellAnchor editAs="oneCell">
    <xdr:from>
      <xdr:col>7</xdr:col>
      <xdr:colOff>381000</xdr:colOff>
      <xdr:row>20</xdr:row>
      <xdr:rowOff>1</xdr:rowOff>
    </xdr:from>
    <xdr:to>
      <xdr:col>8</xdr:col>
      <xdr:colOff>294409</xdr:colOff>
      <xdr:row>20</xdr:row>
      <xdr:rowOff>1262191</xdr:rowOff>
    </xdr:to>
    <xdr:pic>
      <xdr:nvPicPr>
        <xdr:cNvPr id="46" name="Imagen 45"/>
        <xdr:cNvPicPr>
          <a:picLocks noChangeAspect="1"/>
        </xdr:cNvPicPr>
      </xdr:nvPicPr>
      <xdr:blipFill>
        <a:blip xmlns:r="http://schemas.openxmlformats.org/officeDocument/2006/relationships" r:embed="rId10"/>
        <a:stretch>
          <a:fillRect/>
        </a:stretch>
      </xdr:blipFill>
      <xdr:spPr>
        <a:xfrm>
          <a:off x="8451273" y="13681365"/>
          <a:ext cx="675409" cy="1262190"/>
        </a:xfrm>
        <a:prstGeom prst="rect">
          <a:avLst/>
        </a:prstGeom>
      </xdr:spPr>
    </xdr:pic>
    <xdr:clientData/>
  </xdr:twoCellAnchor>
  <xdr:twoCellAnchor editAs="oneCell">
    <xdr:from>
      <xdr:col>7</xdr:col>
      <xdr:colOff>69274</xdr:colOff>
      <xdr:row>21</xdr:row>
      <xdr:rowOff>0</xdr:rowOff>
    </xdr:from>
    <xdr:to>
      <xdr:col>8</xdr:col>
      <xdr:colOff>710046</xdr:colOff>
      <xdr:row>21</xdr:row>
      <xdr:rowOff>1256003</xdr:rowOff>
    </xdr:to>
    <xdr:pic>
      <xdr:nvPicPr>
        <xdr:cNvPr id="47" name="Imagen 46"/>
        <xdr:cNvPicPr>
          <a:picLocks noChangeAspect="1"/>
        </xdr:cNvPicPr>
      </xdr:nvPicPr>
      <xdr:blipFill>
        <a:blip xmlns:r="http://schemas.openxmlformats.org/officeDocument/2006/relationships" r:embed="rId11"/>
        <a:stretch>
          <a:fillRect/>
        </a:stretch>
      </xdr:blipFill>
      <xdr:spPr>
        <a:xfrm>
          <a:off x="8139547" y="14945591"/>
          <a:ext cx="1402772" cy="1256003"/>
        </a:xfrm>
        <a:prstGeom prst="rect">
          <a:avLst/>
        </a:prstGeom>
      </xdr:spPr>
    </xdr:pic>
    <xdr:clientData/>
  </xdr:twoCellAnchor>
  <xdr:twoCellAnchor editAs="oneCell">
    <xdr:from>
      <xdr:col>7</xdr:col>
      <xdr:colOff>69274</xdr:colOff>
      <xdr:row>22</xdr:row>
      <xdr:rowOff>1</xdr:rowOff>
    </xdr:from>
    <xdr:to>
      <xdr:col>8</xdr:col>
      <xdr:colOff>710046</xdr:colOff>
      <xdr:row>22</xdr:row>
      <xdr:rowOff>1225251</xdr:rowOff>
    </xdr:to>
    <xdr:pic>
      <xdr:nvPicPr>
        <xdr:cNvPr id="48" name="Imagen 47"/>
        <xdr:cNvPicPr>
          <a:picLocks noChangeAspect="1"/>
        </xdr:cNvPicPr>
      </xdr:nvPicPr>
      <xdr:blipFill>
        <a:blip xmlns:r="http://schemas.openxmlformats.org/officeDocument/2006/relationships" r:embed="rId12"/>
        <a:stretch>
          <a:fillRect/>
        </a:stretch>
      </xdr:blipFill>
      <xdr:spPr>
        <a:xfrm>
          <a:off x="8139547" y="16209819"/>
          <a:ext cx="1402772" cy="1225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237727</xdr:colOff>
      <xdr:row>2</xdr:row>
      <xdr:rowOff>583406</xdr:rowOff>
    </xdr:to>
    <xdr:pic>
      <xdr:nvPicPr>
        <xdr:cNvPr id="2" name="Imagen 1"/>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4881" t="34392" r="4125" b="35563"/>
        <a:stretch/>
      </xdr:blipFill>
      <xdr:spPr>
        <a:xfrm>
          <a:off x="0" y="0"/>
          <a:ext cx="4638277" cy="96440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237727</xdr:colOff>
      <xdr:row>2</xdr:row>
      <xdr:rowOff>583406</xdr:rowOff>
    </xdr:to>
    <xdr:pic>
      <xdr:nvPicPr>
        <xdr:cNvPr id="2" name="Imagen 1"/>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4881" t="34392" r="4125" b="35563"/>
        <a:stretch/>
      </xdr:blipFill>
      <xdr:spPr>
        <a:xfrm>
          <a:off x="0" y="0"/>
          <a:ext cx="4638277" cy="96440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A1:S32"/>
  <sheetViews>
    <sheetView showGridLines="0" tabSelected="1" zoomScale="85" zoomScaleNormal="85" zoomScalePageLayoutView="70" workbookViewId="0">
      <selection activeCell="J8" sqref="J8"/>
    </sheetView>
  </sheetViews>
  <sheetFormatPr baseColWidth="10" defaultColWidth="11.42578125" defaultRowHeight="18.75" x14ac:dyDescent="0.4"/>
  <cols>
    <col min="1" max="1" width="16.5703125" style="1" customWidth="1"/>
    <col min="2" max="2" width="30.28515625" style="1" customWidth="1"/>
    <col min="3" max="3" width="0.7109375" style="1" customWidth="1"/>
    <col min="4" max="4" width="19.28515625" style="1" customWidth="1"/>
    <col min="5" max="5" width="27.42578125" style="1" customWidth="1"/>
    <col min="6" max="6" width="21" style="1" customWidth="1"/>
    <col min="7" max="7" width="0.5703125" style="1" customWidth="1"/>
    <col min="8" max="8" width="11.28515625" style="1" customWidth="1"/>
    <col min="9" max="9" width="24.28515625" style="1" customWidth="1"/>
    <col min="10" max="13" width="11.42578125" style="1"/>
    <col min="14" max="14" width="11.5703125" style="1" customWidth="1"/>
    <col min="15" max="15" width="11.42578125" style="1"/>
    <col min="16" max="16" width="20" style="1" customWidth="1"/>
    <col min="17" max="17" width="12.5703125" style="1" customWidth="1"/>
    <col min="18" max="18" width="10.140625" style="1" customWidth="1"/>
    <col min="19" max="16384" width="11.42578125" style="1"/>
  </cols>
  <sheetData>
    <row r="1" spans="1:19" ht="18.75" customHeight="1" x14ac:dyDescent="0.4">
      <c r="A1" s="116"/>
      <c r="B1" s="117"/>
      <c r="C1" s="117"/>
      <c r="D1" s="118"/>
      <c r="E1" s="125" t="s">
        <v>19</v>
      </c>
      <c r="F1" s="126"/>
      <c r="G1" s="126"/>
      <c r="H1" s="126"/>
      <c r="I1" s="127"/>
      <c r="L1" s="169" t="s">
        <v>51</v>
      </c>
      <c r="M1" s="170"/>
      <c r="N1" s="170"/>
      <c r="O1" s="170"/>
      <c r="P1" s="170"/>
      <c r="Q1" s="171"/>
    </row>
    <row r="2" spans="1:19" ht="18.75" customHeight="1" thickBot="1" x14ac:dyDescent="0.45">
      <c r="A2" s="119"/>
      <c r="B2" s="120"/>
      <c r="C2" s="120"/>
      <c r="D2" s="121"/>
      <c r="E2" s="128"/>
      <c r="F2" s="129"/>
      <c r="G2" s="129"/>
      <c r="H2" s="129"/>
      <c r="I2" s="130"/>
      <c r="L2" s="172"/>
      <c r="M2" s="173"/>
      <c r="N2" s="173"/>
      <c r="O2" s="173"/>
      <c r="P2" s="173"/>
      <c r="Q2" s="174"/>
    </row>
    <row r="3" spans="1:19" ht="36.75" customHeight="1" thickBot="1" x14ac:dyDescent="0.45">
      <c r="A3" s="122"/>
      <c r="B3" s="123"/>
      <c r="C3" s="123"/>
      <c r="D3" s="124"/>
      <c r="E3" s="131"/>
      <c r="F3" s="132"/>
      <c r="G3" s="132"/>
      <c r="H3" s="132"/>
      <c r="I3" s="133"/>
      <c r="L3" s="160" t="s">
        <v>54</v>
      </c>
      <c r="M3" s="161"/>
      <c r="N3" s="161"/>
      <c r="O3" s="161"/>
      <c r="P3" s="161"/>
      <c r="Q3" s="162"/>
    </row>
    <row r="4" spans="1:19" s="45" customFormat="1" ht="5.25" customHeight="1" thickBot="1" x14ac:dyDescent="0.45">
      <c r="A4" s="53"/>
      <c r="B4" s="53"/>
      <c r="C4" s="53"/>
      <c r="D4" s="53"/>
      <c r="E4" s="54"/>
      <c r="F4" s="54"/>
      <c r="G4" s="54"/>
      <c r="H4" s="54"/>
      <c r="I4" s="54"/>
      <c r="L4" s="111"/>
      <c r="Q4" s="112"/>
    </row>
    <row r="5" spans="1:19" ht="45" customHeight="1" thickBot="1" x14ac:dyDescent="0.45">
      <c r="A5" s="49" t="s">
        <v>14</v>
      </c>
      <c r="B5" s="50">
        <v>1360</v>
      </c>
      <c r="C5" s="43"/>
      <c r="D5" s="49" t="s">
        <v>16</v>
      </c>
      <c r="E5" s="136" t="s">
        <v>76</v>
      </c>
      <c r="F5" s="137"/>
      <c r="G5" s="137"/>
      <c r="H5" s="137"/>
      <c r="I5" s="138"/>
      <c r="L5" s="163" t="s">
        <v>48</v>
      </c>
      <c r="M5" s="164"/>
      <c r="N5" s="164"/>
      <c r="O5" s="164"/>
      <c r="P5" s="164"/>
      <c r="Q5" s="165"/>
    </row>
    <row r="6" spans="1:19" s="45" customFormat="1" ht="3.75" customHeight="1" thickBot="1" x14ac:dyDescent="0.45">
      <c r="A6" s="44"/>
      <c r="B6" s="43"/>
      <c r="C6" s="43"/>
      <c r="D6" s="44"/>
      <c r="E6" s="43"/>
      <c r="F6" s="43"/>
      <c r="G6" s="43"/>
      <c r="H6" s="43"/>
      <c r="I6" s="43"/>
      <c r="L6" s="163"/>
      <c r="M6" s="164"/>
      <c r="N6" s="164"/>
      <c r="O6" s="164"/>
      <c r="P6" s="164"/>
      <c r="Q6" s="165"/>
    </row>
    <row r="7" spans="1:19" ht="45" customHeight="1" thickBot="1" x14ac:dyDescent="0.45">
      <c r="A7" s="49" t="s">
        <v>15</v>
      </c>
      <c r="B7" s="51" t="s">
        <v>57</v>
      </c>
      <c r="C7" s="46"/>
      <c r="D7" s="49" t="s">
        <v>17</v>
      </c>
      <c r="E7" s="134" t="s">
        <v>77</v>
      </c>
      <c r="F7" s="135"/>
      <c r="G7" s="48"/>
      <c r="H7" s="49" t="s">
        <v>18</v>
      </c>
      <c r="I7" s="52" t="s">
        <v>58</v>
      </c>
      <c r="L7" s="166" t="s">
        <v>47</v>
      </c>
      <c r="M7" s="167"/>
      <c r="N7" s="167"/>
      <c r="O7" s="167"/>
      <c r="P7" s="167"/>
      <c r="Q7" s="168"/>
      <c r="R7" s="34"/>
      <c r="S7" s="34"/>
    </row>
    <row r="8" spans="1:19" ht="19.5" customHeight="1" thickBot="1" x14ac:dyDescent="0.45">
      <c r="L8" s="163" t="s">
        <v>49</v>
      </c>
      <c r="M8" s="164"/>
      <c r="N8" s="164"/>
      <c r="O8" s="164"/>
      <c r="P8" s="164"/>
      <c r="Q8" s="165"/>
      <c r="R8" s="34"/>
      <c r="S8" s="34"/>
    </row>
    <row r="9" spans="1:19" ht="48" customHeight="1" thickBot="1" x14ac:dyDescent="0.45">
      <c r="A9" s="152" t="s">
        <v>37</v>
      </c>
      <c r="B9" s="152"/>
      <c r="C9" s="152"/>
      <c r="D9" s="153"/>
      <c r="E9" s="75" t="s">
        <v>78</v>
      </c>
      <c r="F9" s="74"/>
      <c r="L9" s="163"/>
      <c r="M9" s="164"/>
      <c r="N9" s="164"/>
      <c r="O9" s="164"/>
      <c r="P9" s="164"/>
      <c r="Q9" s="165"/>
      <c r="R9" s="34"/>
      <c r="S9" s="34"/>
    </row>
    <row r="10" spans="1:19" ht="20.25" customHeight="1" thickBot="1" x14ac:dyDescent="0.85">
      <c r="A10" s="18"/>
      <c r="B10" s="19"/>
      <c r="C10" s="19"/>
      <c r="D10" s="19"/>
      <c r="E10" s="19"/>
      <c r="F10" s="19"/>
      <c r="G10" s="19"/>
      <c r="L10" s="113"/>
      <c r="M10" s="24"/>
      <c r="N10" s="24"/>
      <c r="O10" s="24" t="s">
        <v>30</v>
      </c>
      <c r="P10" s="24"/>
      <c r="Q10" s="114"/>
      <c r="R10" s="34"/>
      <c r="S10" s="34"/>
    </row>
    <row r="11" spans="1:19" ht="50.1" customHeight="1" thickBot="1" x14ac:dyDescent="0.45">
      <c r="A11" s="141" t="s">
        <v>79</v>
      </c>
      <c r="B11" s="142"/>
      <c r="C11" s="142"/>
      <c r="D11" s="142"/>
      <c r="E11" s="142"/>
      <c r="F11" s="143"/>
      <c r="G11" s="47"/>
      <c r="H11" s="139">
        <f>('1360'!N7)/100</f>
        <v>0.77272727272727271</v>
      </c>
      <c r="I11" s="140"/>
      <c r="L11" s="175" t="s">
        <v>55</v>
      </c>
      <c r="M11" s="176"/>
      <c r="N11" s="176"/>
      <c r="O11" s="176"/>
      <c r="P11" s="176"/>
      <c r="Q11" s="177"/>
      <c r="R11" s="6" t="s">
        <v>7</v>
      </c>
      <c r="S11" s="34"/>
    </row>
    <row r="12" spans="1:19" ht="9.9499999999999993" customHeight="1" thickBot="1" x14ac:dyDescent="0.9">
      <c r="A12" s="26"/>
      <c r="B12" s="27"/>
      <c r="C12" s="27"/>
      <c r="D12" s="27"/>
      <c r="E12" s="28"/>
      <c r="F12" s="29"/>
      <c r="G12" s="29"/>
      <c r="H12" s="26"/>
      <c r="I12" s="26"/>
      <c r="L12" s="113"/>
      <c r="M12" s="24"/>
      <c r="N12" s="24"/>
      <c r="O12" s="24"/>
      <c r="P12" s="24"/>
      <c r="Q12" s="114"/>
      <c r="R12" s="6" t="s">
        <v>27</v>
      </c>
      <c r="S12" s="34"/>
    </row>
    <row r="13" spans="1:19" ht="50.1" customHeight="1" thickBot="1" x14ac:dyDescent="0.45">
      <c r="A13" s="144"/>
      <c r="B13" s="145"/>
      <c r="C13" s="145"/>
      <c r="D13" s="145"/>
      <c r="E13" s="145"/>
      <c r="F13" s="146"/>
      <c r="G13" s="47"/>
      <c r="H13" s="139"/>
      <c r="I13" s="140"/>
      <c r="L13" s="175" t="s">
        <v>56</v>
      </c>
      <c r="M13" s="176"/>
      <c r="N13" s="176"/>
      <c r="O13" s="176"/>
      <c r="P13" s="176"/>
      <c r="Q13" s="177"/>
      <c r="R13" s="6" t="s">
        <v>28</v>
      </c>
      <c r="S13" s="34"/>
    </row>
    <row r="14" spans="1:19" ht="9.9499999999999993" customHeight="1" thickBot="1" x14ac:dyDescent="0.9">
      <c r="A14" s="26"/>
      <c r="B14" s="27"/>
      <c r="C14" s="27"/>
      <c r="D14" s="27"/>
      <c r="E14" s="27"/>
      <c r="F14" s="30"/>
      <c r="G14" s="30"/>
      <c r="H14" s="26"/>
      <c r="I14" s="26"/>
      <c r="L14" s="113"/>
      <c r="M14" s="24"/>
      <c r="N14" s="24"/>
      <c r="O14" s="24"/>
      <c r="P14" s="24"/>
      <c r="Q14" s="114"/>
      <c r="R14" s="6" t="s">
        <v>29</v>
      </c>
      <c r="S14" s="34"/>
    </row>
    <row r="15" spans="1:19" ht="50.1" customHeight="1" thickBot="1" x14ac:dyDescent="0.45">
      <c r="A15" s="144"/>
      <c r="B15" s="145"/>
      <c r="C15" s="145"/>
      <c r="D15" s="145"/>
      <c r="E15" s="145"/>
      <c r="F15" s="146"/>
      <c r="G15" s="47"/>
      <c r="H15" s="139"/>
      <c r="I15" s="140"/>
      <c r="L15" s="175" t="s">
        <v>50</v>
      </c>
      <c r="M15" s="176"/>
      <c r="N15" s="176"/>
      <c r="O15" s="176"/>
      <c r="P15" s="176"/>
      <c r="Q15" s="177"/>
      <c r="R15" s="34"/>
      <c r="S15" s="34"/>
    </row>
    <row r="16" spans="1:19" ht="9.9499999999999993" customHeight="1" thickBot="1" x14ac:dyDescent="0.9">
      <c r="A16" s="26"/>
      <c r="B16" s="27"/>
      <c r="C16" s="27"/>
      <c r="D16" s="27"/>
      <c r="E16" s="27"/>
      <c r="F16" s="30"/>
      <c r="G16" s="30"/>
      <c r="H16" s="26"/>
      <c r="I16" s="26"/>
      <c r="L16" s="113"/>
      <c r="M16" s="24"/>
      <c r="N16" s="24"/>
      <c r="O16" s="24"/>
      <c r="P16" s="24"/>
      <c r="Q16" s="114"/>
      <c r="R16" s="34"/>
      <c r="S16" s="34"/>
    </row>
    <row r="17" spans="1:19" ht="50.1" customHeight="1" thickBot="1" x14ac:dyDescent="0.45">
      <c r="A17" s="144"/>
      <c r="B17" s="145"/>
      <c r="C17" s="145"/>
      <c r="D17" s="145"/>
      <c r="E17" s="145"/>
      <c r="F17" s="146"/>
      <c r="G17" s="47"/>
      <c r="H17" s="139"/>
      <c r="I17" s="140"/>
      <c r="L17" s="175" t="s">
        <v>52</v>
      </c>
      <c r="M17" s="176"/>
      <c r="N17" s="176"/>
      <c r="O17" s="176"/>
      <c r="P17" s="176"/>
      <c r="Q17" s="177"/>
      <c r="R17" s="34"/>
      <c r="S17" s="34"/>
    </row>
    <row r="18" spans="1:19" ht="9.9499999999999993" customHeight="1" thickBot="1" x14ac:dyDescent="0.45">
      <c r="A18" s="27"/>
      <c r="B18" s="27"/>
      <c r="C18" s="27"/>
      <c r="D18" s="27"/>
      <c r="E18" s="27"/>
      <c r="F18" s="27"/>
      <c r="G18" s="27"/>
      <c r="H18" s="31"/>
      <c r="I18" s="31"/>
      <c r="L18" s="175" t="s">
        <v>53</v>
      </c>
      <c r="M18" s="176"/>
      <c r="N18" s="176"/>
      <c r="O18" s="176"/>
      <c r="P18" s="176"/>
      <c r="Q18" s="177"/>
      <c r="R18" s="34"/>
      <c r="S18" s="34"/>
    </row>
    <row r="19" spans="1:19" ht="50.1" customHeight="1" thickBot="1" x14ac:dyDescent="0.45">
      <c r="A19" s="144"/>
      <c r="B19" s="145"/>
      <c r="C19" s="145"/>
      <c r="D19" s="145"/>
      <c r="E19" s="145"/>
      <c r="F19" s="146"/>
      <c r="G19" s="47"/>
      <c r="H19" s="139"/>
      <c r="I19" s="140"/>
      <c r="L19" s="175"/>
      <c r="M19" s="176"/>
      <c r="N19" s="176"/>
      <c r="O19" s="176"/>
      <c r="P19" s="176"/>
      <c r="Q19" s="177"/>
      <c r="R19" s="34"/>
      <c r="S19" s="34"/>
    </row>
    <row r="20" spans="1:19" ht="18.75" customHeight="1" thickBot="1" x14ac:dyDescent="0.85">
      <c r="A20" s="18"/>
      <c r="B20" s="20"/>
      <c r="C20" s="20"/>
      <c r="D20" s="20"/>
      <c r="E20" s="21"/>
      <c r="F20" s="22"/>
      <c r="G20" s="22"/>
      <c r="L20" s="175"/>
      <c r="M20" s="176"/>
      <c r="N20" s="176"/>
      <c r="O20" s="176"/>
      <c r="P20" s="176"/>
      <c r="Q20" s="177"/>
      <c r="R20" s="34"/>
    </row>
    <row r="21" spans="1:19" ht="49.5" customHeight="1" thickBot="1" x14ac:dyDescent="0.85">
      <c r="A21" s="154"/>
      <c r="B21" s="155"/>
      <c r="C21" s="155"/>
      <c r="D21" s="155"/>
      <c r="E21" s="155"/>
      <c r="F21" s="156"/>
      <c r="G21" s="22"/>
      <c r="H21" s="158"/>
      <c r="I21" s="159"/>
      <c r="L21" s="178"/>
      <c r="M21" s="179"/>
      <c r="N21" s="179"/>
      <c r="O21" s="179"/>
      <c r="P21" s="179"/>
      <c r="Q21" s="180"/>
      <c r="R21" s="34"/>
    </row>
    <row r="22" spans="1:19" ht="18.75" customHeight="1" thickBot="1" x14ac:dyDescent="0.85">
      <c r="A22" s="18"/>
      <c r="B22" s="20"/>
      <c r="C22" s="20"/>
      <c r="D22" s="20"/>
      <c r="E22" s="21"/>
      <c r="F22" s="22"/>
      <c r="G22" s="22"/>
      <c r="R22" s="34"/>
    </row>
    <row r="23" spans="1:19" ht="50.25" customHeight="1" thickBot="1" x14ac:dyDescent="0.85">
      <c r="A23" s="154" t="s">
        <v>35</v>
      </c>
      <c r="B23" s="155"/>
      <c r="C23" s="155"/>
      <c r="D23" s="155"/>
      <c r="E23" s="155"/>
      <c r="F23" s="156"/>
      <c r="G23" s="22"/>
      <c r="H23" s="158">
        <f>(ACCESORIOS!N7)/100</f>
        <v>0.5</v>
      </c>
      <c r="I23" s="159"/>
      <c r="R23" s="34"/>
    </row>
    <row r="24" spans="1:19" ht="18.75" customHeight="1" thickBot="1" x14ac:dyDescent="0.85">
      <c r="A24" s="18"/>
      <c r="B24" s="20"/>
      <c r="C24" s="20"/>
      <c r="D24" s="20"/>
      <c r="E24" s="21"/>
      <c r="F24" s="22"/>
      <c r="G24" s="22"/>
      <c r="R24" s="34"/>
    </row>
    <row r="25" spans="1:19" ht="50.25" customHeight="1" thickBot="1" x14ac:dyDescent="0.85">
      <c r="A25" s="154" t="s">
        <v>43</v>
      </c>
      <c r="B25" s="155"/>
      <c r="C25" s="155"/>
      <c r="D25" s="155"/>
      <c r="E25" s="155"/>
      <c r="F25" s="156"/>
      <c r="G25" s="22"/>
      <c r="H25" s="158">
        <f>(TORNILLERÍA!N7)/100</f>
        <v>0.5</v>
      </c>
      <c r="I25" s="159"/>
      <c r="R25" s="34"/>
    </row>
    <row r="26" spans="1:19" ht="40.5" customHeight="1" thickBot="1" x14ac:dyDescent="0.85">
      <c r="A26" s="18"/>
      <c r="B26" s="20"/>
      <c r="C26" s="20"/>
      <c r="D26" s="20"/>
      <c r="E26" s="21"/>
      <c r="F26" s="22"/>
      <c r="G26" s="22"/>
      <c r="R26" s="34"/>
    </row>
    <row r="27" spans="1:19" ht="54.95" customHeight="1" thickBot="1" x14ac:dyDescent="0.45">
      <c r="A27" s="149" t="s">
        <v>6</v>
      </c>
      <c r="B27" s="150"/>
      <c r="C27" s="150"/>
      <c r="D27" s="150"/>
      <c r="E27" s="150"/>
      <c r="F27" s="151"/>
      <c r="G27" s="23"/>
      <c r="H27" s="147">
        <f>SUM(H11,H23,H25)/3</f>
        <v>0.59090909090909094</v>
      </c>
      <c r="I27" s="148"/>
    </row>
    <row r="28" spans="1:19" ht="40.5" thickBot="1" x14ac:dyDescent="0.85">
      <c r="A28" s="18"/>
      <c r="B28" s="18"/>
      <c r="C28" s="18"/>
      <c r="D28" s="18"/>
      <c r="E28" s="18"/>
      <c r="F28" s="18"/>
      <c r="G28" s="18"/>
    </row>
    <row r="29" spans="1:19" ht="55.5" customHeight="1" thickBot="1" x14ac:dyDescent="0.45">
      <c r="A29" s="149" t="s">
        <v>46</v>
      </c>
      <c r="B29" s="150"/>
      <c r="C29" s="150"/>
      <c r="D29" s="150"/>
      <c r="E29" s="150"/>
      <c r="F29" s="151"/>
      <c r="G29" s="58"/>
      <c r="H29" s="157" t="e">
        <f>SUM('1360'!R7,#REF!,#REF!,#REF!,#REF!,#REF!,ACCESORIOS!R7,TORNILLERÍA!R7)</f>
        <v>#REF!</v>
      </c>
      <c r="I29" s="148"/>
    </row>
    <row r="30" spans="1:19" ht="39.75" x14ac:dyDescent="0.8">
      <c r="A30" s="18"/>
      <c r="B30" s="18"/>
      <c r="C30" s="18"/>
      <c r="D30" s="18"/>
      <c r="E30" s="18"/>
      <c r="F30" s="18"/>
      <c r="G30" s="18"/>
    </row>
    <row r="31" spans="1:19" ht="98.25" customHeight="1" x14ac:dyDescent="0.4">
      <c r="I31" s="24"/>
      <c r="J31" s="24"/>
      <c r="K31" s="24"/>
      <c r="L31" s="24"/>
      <c r="M31" s="24"/>
      <c r="N31" s="24"/>
      <c r="O31" s="24"/>
      <c r="P31" s="24"/>
      <c r="Q31" s="24"/>
      <c r="R31" s="24"/>
    </row>
    <row r="32" spans="1:19" ht="23.25" customHeight="1" x14ac:dyDescent="0.4">
      <c r="A32" s="115" t="s">
        <v>23</v>
      </c>
      <c r="B32" s="115"/>
      <c r="C32" s="115"/>
      <c r="D32" s="115"/>
      <c r="F32" s="115" t="s">
        <v>31</v>
      </c>
      <c r="G32" s="115"/>
      <c r="H32" s="115"/>
      <c r="I32" s="115"/>
      <c r="J32" s="25"/>
      <c r="K32" s="25"/>
      <c r="L32" s="25"/>
      <c r="M32" s="25"/>
      <c r="N32" s="25"/>
      <c r="O32" s="25"/>
      <c r="P32" s="25"/>
      <c r="Q32" s="25"/>
      <c r="R32" s="25"/>
    </row>
  </sheetData>
  <mergeCells count="37">
    <mergeCell ref="L11:Q11"/>
    <mergeCell ref="L13:Q13"/>
    <mergeCell ref="L15:Q15"/>
    <mergeCell ref="L17:Q17"/>
    <mergeCell ref="L18:Q21"/>
    <mergeCell ref="L3:Q3"/>
    <mergeCell ref="L5:Q6"/>
    <mergeCell ref="L7:Q7"/>
    <mergeCell ref="L8:Q9"/>
    <mergeCell ref="L1:Q2"/>
    <mergeCell ref="A9:D9"/>
    <mergeCell ref="A19:F19"/>
    <mergeCell ref="H19:I19"/>
    <mergeCell ref="A21:F21"/>
    <mergeCell ref="A29:F29"/>
    <mergeCell ref="H29:I29"/>
    <mergeCell ref="A23:F23"/>
    <mergeCell ref="A25:F25"/>
    <mergeCell ref="H21:I21"/>
    <mergeCell ref="H23:I23"/>
    <mergeCell ref="H25:I25"/>
    <mergeCell ref="A32:D32"/>
    <mergeCell ref="F32:I32"/>
    <mergeCell ref="A1:D3"/>
    <mergeCell ref="E1:I3"/>
    <mergeCell ref="E7:F7"/>
    <mergeCell ref="E5:I5"/>
    <mergeCell ref="H11:I11"/>
    <mergeCell ref="A11:F11"/>
    <mergeCell ref="A13:F13"/>
    <mergeCell ref="A15:F15"/>
    <mergeCell ref="A17:F17"/>
    <mergeCell ref="H27:I27"/>
    <mergeCell ref="A27:F27"/>
    <mergeCell ref="H13:I13"/>
    <mergeCell ref="H15:I15"/>
    <mergeCell ref="H17:I17"/>
  </mergeCells>
  <dataValidations count="1">
    <dataValidation type="list" allowBlank="1" showInputMessage="1" showErrorMessage="1" sqref="E9">
      <formula1>Productos</formula1>
    </dataValidation>
  </dataValidations>
  <pageMargins left="0.7" right="0.7" top="1.38" bottom="0.75" header="0.75" footer="0.3"/>
  <pageSetup scale="64" orientation="portrait" r:id="rId1"/>
  <headerFooter>
    <oddHeader>&amp;F</oddHead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pageSetUpPr fitToPage="1"/>
  </sheetPr>
  <dimension ref="A1:S30"/>
  <sheetViews>
    <sheetView showGridLines="0" topLeftCell="A19" zoomScale="55" zoomScaleNormal="55" workbookViewId="0">
      <selection activeCell="J24" sqref="J24"/>
    </sheetView>
  </sheetViews>
  <sheetFormatPr baseColWidth="10" defaultColWidth="11.42578125" defaultRowHeight="18.75" x14ac:dyDescent="0.4"/>
  <cols>
    <col min="1" max="1" width="9.85546875" style="1" customWidth="1"/>
    <col min="2" max="2" width="22.7109375" style="1" customWidth="1"/>
    <col min="3" max="6" width="16.7109375" style="1" customWidth="1"/>
    <col min="7" max="7" width="22.140625" style="1" customWidth="1"/>
    <col min="8" max="9" width="11.42578125" style="1"/>
    <col min="10" max="10" width="24.5703125" style="1" customWidth="1"/>
    <col min="11" max="11" width="12.5703125" style="1" customWidth="1"/>
    <col min="12" max="14" width="18.7109375" style="1" customWidth="1"/>
    <col min="15" max="15" width="20.7109375" style="1" customWidth="1"/>
    <col min="16" max="17" width="20.7109375" style="66" customWidth="1"/>
    <col min="18" max="18" width="37" style="1" customWidth="1"/>
    <col min="19" max="16384" width="11.42578125" style="1"/>
  </cols>
  <sheetData>
    <row r="1" spans="1:19" ht="15" customHeight="1" x14ac:dyDescent="0.4">
      <c r="A1" s="209" t="s">
        <v>34</v>
      </c>
      <c r="B1" s="210"/>
      <c r="C1" s="210"/>
      <c r="D1" s="210"/>
      <c r="E1" s="210"/>
      <c r="F1" s="210"/>
      <c r="G1" s="210"/>
      <c r="H1" s="210"/>
      <c r="I1" s="210"/>
      <c r="J1" s="210"/>
      <c r="K1" s="210"/>
      <c r="L1" s="210"/>
      <c r="M1" s="210"/>
      <c r="N1" s="210"/>
      <c r="O1" s="210"/>
      <c r="P1" s="210"/>
      <c r="Q1" s="210"/>
      <c r="R1" s="211"/>
    </row>
    <row r="2" spans="1:19" ht="15" customHeight="1" x14ac:dyDescent="0.4">
      <c r="A2" s="212"/>
      <c r="B2" s="213"/>
      <c r="C2" s="213"/>
      <c r="D2" s="213"/>
      <c r="E2" s="213"/>
      <c r="F2" s="213"/>
      <c r="G2" s="213"/>
      <c r="H2" s="213"/>
      <c r="I2" s="213"/>
      <c r="J2" s="213"/>
      <c r="K2" s="213"/>
      <c r="L2" s="213"/>
      <c r="M2" s="213"/>
      <c r="N2" s="213"/>
      <c r="O2" s="213"/>
      <c r="P2" s="213"/>
      <c r="Q2" s="213"/>
      <c r="R2" s="214"/>
    </row>
    <row r="3" spans="1:19" ht="46.5" customHeight="1" thickBot="1" x14ac:dyDescent="0.45">
      <c r="A3" s="212"/>
      <c r="B3" s="213"/>
      <c r="C3" s="213"/>
      <c r="D3" s="213"/>
      <c r="E3" s="213"/>
      <c r="F3" s="213"/>
      <c r="G3" s="213"/>
      <c r="H3" s="213"/>
      <c r="I3" s="213"/>
      <c r="J3" s="213"/>
      <c r="K3" s="213"/>
      <c r="L3" s="213"/>
      <c r="M3" s="213"/>
      <c r="N3" s="213"/>
      <c r="O3" s="213"/>
      <c r="P3" s="213"/>
      <c r="Q3" s="213"/>
      <c r="R3" s="214"/>
    </row>
    <row r="4" spans="1:19" s="7" customFormat="1" ht="39.950000000000003" customHeight="1" thickBot="1" x14ac:dyDescent="0.65">
      <c r="A4" s="215" t="s">
        <v>22</v>
      </c>
      <c r="B4" s="216"/>
      <c r="C4" s="222">
        <v>1370</v>
      </c>
      <c r="D4" s="222"/>
      <c r="E4" s="222"/>
      <c r="F4" s="222"/>
      <c r="G4" s="2" t="s">
        <v>16</v>
      </c>
      <c r="H4" s="222" t="str">
        <f>PORTADA!E5</f>
        <v>Exoesqueleto Waist Support</v>
      </c>
      <c r="I4" s="222"/>
      <c r="J4" s="222"/>
      <c r="K4" s="222"/>
      <c r="L4" s="222"/>
      <c r="M4" s="222"/>
      <c r="N4" s="222"/>
      <c r="O4" s="222"/>
      <c r="P4" s="222"/>
      <c r="Q4" s="222"/>
      <c r="R4" s="223"/>
    </row>
    <row r="5" spans="1:19" s="7" customFormat="1" ht="39.950000000000003" customHeight="1" thickBot="1" x14ac:dyDescent="0.65">
      <c r="A5" s="217" t="s">
        <v>15</v>
      </c>
      <c r="B5" s="218"/>
      <c r="C5" s="224" t="str">
        <f>PORTADA!B7</f>
        <v>07.12.2021</v>
      </c>
      <c r="D5" s="225"/>
      <c r="E5" s="225"/>
      <c r="F5" s="226"/>
      <c r="G5" s="3" t="s">
        <v>17</v>
      </c>
      <c r="H5" s="219" t="str">
        <f>PORTADA!E7</f>
        <v>KOTEOS</v>
      </c>
      <c r="I5" s="220"/>
      <c r="J5" s="220"/>
      <c r="K5" s="221"/>
      <c r="L5" s="215" t="s">
        <v>18</v>
      </c>
      <c r="M5" s="216"/>
      <c r="N5" s="219" t="str">
        <f>PORTADA!I7</f>
        <v>M.Gutiérrez</v>
      </c>
      <c r="O5" s="220"/>
      <c r="P5" s="220"/>
      <c r="Q5" s="220"/>
      <c r="R5" s="221"/>
    </row>
    <row r="6" spans="1:19" ht="12.75" customHeight="1" thickBot="1" x14ac:dyDescent="0.45"/>
    <row r="7" spans="1:19" s="7" customFormat="1" ht="25.5" customHeight="1" x14ac:dyDescent="0.6">
      <c r="A7" s="227" t="str">
        <f>PORTADA!A11</f>
        <v>FABRICACIÓN EXOESQUELETO</v>
      </c>
      <c r="B7" s="228"/>
      <c r="C7" s="228"/>
      <c r="D7" s="228"/>
      <c r="E7" s="228"/>
      <c r="F7" s="228"/>
      <c r="G7" s="229"/>
      <c r="H7" s="237" t="s">
        <v>6</v>
      </c>
      <c r="I7" s="238"/>
      <c r="J7" s="238"/>
      <c r="K7" s="238"/>
      <c r="L7" s="238"/>
      <c r="M7" s="239"/>
      <c r="N7" s="233">
        <f>AVERAGE(S13:S23)</f>
        <v>77.272727272727266</v>
      </c>
      <c r="O7" s="234"/>
      <c r="P7" s="184" t="s">
        <v>20</v>
      </c>
      <c r="Q7" s="186" t="s">
        <v>46</v>
      </c>
      <c r="R7" s="207">
        <f>SUM(Q13:Q30)</f>
        <v>0</v>
      </c>
    </row>
    <row r="8" spans="1:19" s="7" customFormat="1" ht="19.5" customHeight="1" thickBot="1" x14ac:dyDescent="0.65">
      <c r="A8" s="230"/>
      <c r="B8" s="231"/>
      <c r="C8" s="231"/>
      <c r="D8" s="231"/>
      <c r="E8" s="231"/>
      <c r="F8" s="231"/>
      <c r="G8" s="232"/>
      <c r="H8" s="240"/>
      <c r="I8" s="241"/>
      <c r="J8" s="241"/>
      <c r="K8" s="241"/>
      <c r="L8" s="241"/>
      <c r="M8" s="242"/>
      <c r="N8" s="235"/>
      <c r="O8" s="236"/>
      <c r="P8" s="185"/>
      <c r="Q8" s="187"/>
      <c r="R8" s="208"/>
    </row>
    <row r="9" spans="1:19" ht="13.5" customHeight="1" thickBot="1" x14ac:dyDescent="0.45">
      <c r="A9" s="8"/>
      <c r="B9" s="9"/>
      <c r="C9" s="183"/>
      <c r="D9" s="183"/>
      <c r="E9" s="183"/>
      <c r="F9" s="183"/>
      <c r="G9" s="183"/>
      <c r="H9" s="183"/>
      <c r="I9" s="183"/>
      <c r="J9" s="183"/>
      <c r="K9" s="183"/>
      <c r="L9" s="183"/>
      <c r="M9" s="183"/>
      <c r="N9" s="10"/>
      <c r="O9" s="11"/>
      <c r="P9" s="67"/>
      <c r="Q9" s="67"/>
      <c r="R9" s="12"/>
    </row>
    <row r="10" spans="1:19" ht="18.75" customHeight="1" thickBot="1" x14ac:dyDescent="0.45">
      <c r="A10" s="190" t="s">
        <v>21</v>
      </c>
      <c r="B10" s="190" t="s">
        <v>13</v>
      </c>
      <c r="C10" s="193" t="s">
        <v>12</v>
      </c>
      <c r="D10" s="194"/>
      <c r="E10" s="194"/>
      <c r="F10" s="194"/>
      <c r="G10" s="195"/>
      <c r="H10" s="201" t="s">
        <v>0</v>
      </c>
      <c r="I10" s="202"/>
      <c r="J10" s="190" t="s">
        <v>11</v>
      </c>
      <c r="K10" s="190" t="s">
        <v>10</v>
      </c>
      <c r="L10" s="190" t="s">
        <v>24</v>
      </c>
      <c r="M10" s="202" t="s">
        <v>25</v>
      </c>
      <c r="N10" s="190" t="s">
        <v>26</v>
      </c>
      <c r="O10" s="190" t="s">
        <v>8</v>
      </c>
      <c r="P10" s="198" t="s">
        <v>32</v>
      </c>
      <c r="Q10" s="198" t="s">
        <v>33</v>
      </c>
      <c r="R10" s="190" t="s">
        <v>9</v>
      </c>
    </row>
    <row r="11" spans="1:19" ht="19.5" thickBot="1" x14ac:dyDescent="0.45">
      <c r="A11" s="191"/>
      <c r="B11" s="191"/>
      <c r="C11" s="4" t="s">
        <v>1</v>
      </c>
      <c r="D11" s="4" t="s">
        <v>2</v>
      </c>
      <c r="E11" s="4" t="s">
        <v>3</v>
      </c>
      <c r="F11" s="4" t="s">
        <v>4</v>
      </c>
      <c r="G11" s="196" t="s">
        <v>5</v>
      </c>
      <c r="H11" s="203"/>
      <c r="I11" s="204"/>
      <c r="J11" s="191"/>
      <c r="K11" s="191"/>
      <c r="L11" s="191"/>
      <c r="M11" s="204"/>
      <c r="N11" s="191"/>
      <c r="O11" s="191"/>
      <c r="P11" s="199"/>
      <c r="Q11" s="199"/>
      <c r="R11" s="191"/>
    </row>
    <row r="12" spans="1:19" ht="16.5" customHeight="1" thickBot="1" x14ac:dyDescent="0.45">
      <c r="A12" s="192"/>
      <c r="B12" s="192"/>
      <c r="C12" s="5">
        <v>0.25</v>
      </c>
      <c r="D12" s="5">
        <v>0.5</v>
      </c>
      <c r="E12" s="5">
        <v>0.75</v>
      </c>
      <c r="F12" s="5">
        <v>1</v>
      </c>
      <c r="G12" s="197"/>
      <c r="H12" s="205"/>
      <c r="I12" s="206"/>
      <c r="J12" s="192"/>
      <c r="K12" s="192"/>
      <c r="L12" s="192"/>
      <c r="M12" s="206"/>
      <c r="N12" s="192"/>
      <c r="O12" s="192"/>
      <c r="P12" s="200"/>
      <c r="Q12" s="200"/>
      <c r="R12" s="192"/>
    </row>
    <row r="13" spans="1:19" ht="99.95" customHeight="1" thickBot="1" x14ac:dyDescent="0.45">
      <c r="A13" s="35">
        <v>101</v>
      </c>
      <c r="B13" s="36" t="s">
        <v>64</v>
      </c>
      <c r="C13" s="37">
        <v>1</v>
      </c>
      <c r="D13" s="37">
        <v>1</v>
      </c>
      <c r="E13" s="37">
        <v>0</v>
      </c>
      <c r="F13" s="37">
        <v>0</v>
      </c>
      <c r="G13" s="38" t="str">
        <f>IF(C13=1,IF(D13=1,IF(E13=1,IF(F13=1,"100","75"),"50"),"25"),"0")</f>
        <v>50</v>
      </c>
      <c r="H13" s="188"/>
      <c r="I13" s="189"/>
      <c r="J13" s="39"/>
      <c r="K13" s="40">
        <v>1</v>
      </c>
      <c r="L13" s="41"/>
      <c r="M13" s="42"/>
      <c r="N13" s="40"/>
      <c r="O13" s="40"/>
      <c r="P13" s="72"/>
      <c r="Q13" s="72">
        <f>P13*K13</f>
        <v>0</v>
      </c>
      <c r="R13" s="15"/>
      <c r="S13" s="6">
        <f>VALUE(G13)</f>
        <v>50</v>
      </c>
    </row>
    <row r="14" spans="1:19" ht="99.95" customHeight="1" thickBot="1" x14ac:dyDescent="0.45">
      <c r="A14" s="35">
        <v>102</v>
      </c>
      <c r="B14" s="36" t="s">
        <v>63</v>
      </c>
      <c r="C14" s="37">
        <v>1</v>
      </c>
      <c r="D14" s="37">
        <v>1</v>
      </c>
      <c r="E14" s="37">
        <v>1</v>
      </c>
      <c r="F14" s="37">
        <v>1</v>
      </c>
      <c r="G14" s="38" t="str">
        <f t="shared" ref="G14:G25" si="0">IF(C14=1,IF(D14=1,IF(E14=1,IF(F14=1,"100","75"),"50"),"25"),"0")</f>
        <v>100</v>
      </c>
      <c r="H14" s="188"/>
      <c r="I14" s="189"/>
      <c r="J14" s="39"/>
      <c r="K14" s="40">
        <v>1</v>
      </c>
      <c r="L14" s="41"/>
      <c r="M14" s="42"/>
      <c r="N14" s="40"/>
      <c r="O14" s="40"/>
      <c r="P14" s="72"/>
      <c r="Q14" s="72">
        <f t="shared" ref="Q14:Q25" si="1">P14*K14</f>
        <v>0</v>
      </c>
      <c r="R14" s="17" t="s">
        <v>60</v>
      </c>
      <c r="S14" s="6">
        <f t="shared" ref="S14:S25" si="2">VALUE(G14)</f>
        <v>100</v>
      </c>
    </row>
    <row r="15" spans="1:19" ht="99.95" customHeight="1" thickBot="1" x14ac:dyDescent="0.45">
      <c r="A15" s="35">
        <v>103</v>
      </c>
      <c r="B15" s="36" t="s">
        <v>65</v>
      </c>
      <c r="C15" s="37">
        <v>1</v>
      </c>
      <c r="D15" s="37">
        <v>1</v>
      </c>
      <c r="E15" s="37">
        <v>1</v>
      </c>
      <c r="F15" s="37">
        <v>1</v>
      </c>
      <c r="G15" s="38" t="str">
        <f t="shared" si="0"/>
        <v>100</v>
      </c>
      <c r="H15" s="188"/>
      <c r="I15" s="189"/>
      <c r="J15" s="39"/>
      <c r="K15" s="40">
        <v>2</v>
      </c>
      <c r="L15" s="41"/>
      <c r="M15" s="42"/>
      <c r="N15" s="40"/>
      <c r="O15" s="40"/>
      <c r="P15" s="72"/>
      <c r="Q15" s="72">
        <f t="shared" si="1"/>
        <v>0</v>
      </c>
      <c r="R15" s="17" t="s">
        <v>59</v>
      </c>
      <c r="S15" s="6">
        <f t="shared" si="2"/>
        <v>100</v>
      </c>
    </row>
    <row r="16" spans="1:19" ht="99.95" customHeight="1" thickBot="1" x14ac:dyDescent="0.45">
      <c r="A16" s="35">
        <v>104</v>
      </c>
      <c r="B16" s="13" t="s">
        <v>66</v>
      </c>
      <c r="C16" s="15">
        <v>1</v>
      </c>
      <c r="D16" s="15">
        <v>1</v>
      </c>
      <c r="E16" s="15">
        <v>0</v>
      </c>
      <c r="F16" s="15">
        <v>0</v>
      </c>
      <c r="G16" s="38" t="str">
        <f t="shared" si="0"/>
        <v>50</v>
      </c>
      <c r="H16" s="181"/>
      <c r="I16" s="182"/>
      <c r="J16" s="14"/>
      <c r="K16" s="15">
        <v>2</v>
      </c>
      <c r="L16" s="33"/>
      <c r="M16" s="32"/>
      <c r="N16" s="16"/>
      <c r="O16" s="15"/>
      <c r="P16" s="73"/>
      <c r="Q16" s="72">
        <f t="shared" si="1"/>
        <v>0</v>
      </c>
      <c r="R16" s="15"/>
      <c r="S16" s="6">
        <f t="shared" si="2"/>
        <v>50</v>
      </c>
    </row>
    <row r="17" spans="1:19" ht="99.95" customHeight="1" thickBot="1" x14ac:dyDescent="0.45">
      <c r="A17" s="35">
        <v>105</v>
      </c>
      <c r="B17" s="13" t="s">
        <v>67</v>
      </c>
      <c r="C17" s="15">
        <v>1</v>
      </c>
      <c r="D17" s="15">
        <v>1</v>
      </c>
      <c r="E17" s="15">
        <v>1</v>
      </c>
      <c r="F17" s="15">
        <v>1</v>
      </c>
      <c r="G17" s="38" t="str">
        <f t="shared" si="0"/>
        <v>100</v>
      </c>
      <c r="H17" s="181"/>
      <c r="I17" s="182"/>
      <c r="J17" s="14"/>
      <c r="K17" s="15"/>
      <c r="L17" s="33"/>
      <c r="M17" s="32"/>
      <c r="N17" s="16"/>
      <c r="O17" s="15"/>
      <c r="P17" s="73"/>
      <c r="Q17" s="72">
        <f t="shared" si="1"/>
        <v>0</v>
      </c>
      <c r="R17" s="15"/>
      <c r="S17" s="6">
        <f t="shared" si="2"/>
        <v>100</v>
      </c>
    </row>
    <row r="18" spans="1:19" ht="99.95" customHeight="1" thickBot="1" x14ac:dyDescent="0.45">
      <c r="A18" s="35">
        <v>106</v>
      </c>
      <c r="B18" s="13" t="s">
        <v>68</v>
      </c>
      <c r="C18" s="15">
        <v>1</v>
      </c>
      <c r="D18" s="15">
        <v>1</v>
      </c>
      <c r="E18" s="15">
        <v>1</v>
      </c>
      <c r="F18" s="15">
        <v>1</v>
      </c>
      <c r="G18" s="38" t="str">
        <f t="shared" si="0"/>
        <v>100</v>
      </c>
      <c r="H18" s="181"/>
      <c r="I18" s="182"/>
      <c r="J18" s="14"/>
      <c r="K18" s="17"/>
      <c r="L18" s="33"/>
      <c r="M18" s="32"/>
      <c r="N18" s="16"/>
      <c r="O18" s="15"/>
      <c r="P18" s="73"/>
      <c r="Q18" s="72">
        <f t="shared" si="1"/>
        <v>0</v>
      </c>
      <c r="R18" s="15"/>
      <c r="S18" s="6">
        <f t="shared" si="2"/>
        <v>100</v>
      </c>
    </row>
    <row r="19" spans="1:19" ht="99.95" customHeight="1" thickBot="1" x14ac:dyDescent="0.45">
      <c r="A19" s="35">
        <v>107</v>
      </c>
      <c r="B19" s="13" t="s">
        <v>61</v>
      </c>
      <c r="C19" s="15">
        <v>1</v>
      </c>
      <c r="D19" s="15">
        <v>1</v>
      </c>
      <c r="E19" s="15">
        <v>1</v>
      </c>
      <c r="F19" s="15">
        <v>1</v>
      </c>
      <c r="G19" s="38" t="str">
        <f t="shared" si="0"/>
        <v>100</v>
      </c>
      <c r="H19" s="181"/>
      <c r="I19" s="182"/>
      <c r="J19" s="14"/>
      <c r="K19" s="15"/>
      <c r="L19" s="33"/>
      <c r="M19" s="32"/>
      <c r="N19" s="16"/>
      <c r="O19" s="15"/>
      <c r="P19" s="73"/>
      <c r="Q19" s="72">
        <f t="shared" si="1"/>
        <v>0</v>
      </c>
      <c r="R19" s="15"/>
      <c r="S19" s="6">
        <f t="shared" si="2"/>
        <v>100</v>
      </c>
    </row>
    <row r="20" spans="1:19" ht="99.95" customHeight="1" thickBot="1" x14ac:dyDescent="0.45">
      <c r="A20" s="35">
        <v>108</v>
      </c>
      <c r="B20" s="13" t="s">
        <v>69</v>
      </c>
      <c r="C20" s="15">
        <v>1</v>
      </c>
      <c r="D20" s="15">
        <v>1</v>
      </c>
      <c r="E20" s="15">
        <v>0</v>
      </c>
      <c r="F20" s="15">
        <v>0</v>
      </c>
      <c r="G20" s="38" t="str">
        <f t="shared" si="0"/>
        <v>50</v>
      </c>
      <c r="H20" s="181"/>
      <c r="I20" s="182"/>
      <c r="J20" s="14"/>
      <c r="K20" s="15"/>
      <c r="L20" s="33"/>
      <c r="M20" s="32"/>
      <c r="N20" s="16"/>
      <c r="O20" s="15"/>
      <c r="P20" s="73"/>
      <c r="Q20" s="72">
        <f t="shared" si="1"/>
        <v>0</v>
      </c>
      <c r="R20" s="15"/>
      <c r="S20" s="6">
        <f t="shared" si="2"/>
        <v>50</v>
      </c>
    </row>
    <row r="21" spans="1:19" ht="99.95" customHeight="1" thickBot="1" x14ac:dyDescent="0.45">
      <c r="A21" s="35">
        <v>109</v>
      </c>
      <c r="B21" s="13" t="s">
        <v>70</v>
      </c>
      <c r="C21" s="15">
        <v>1</v>
      </c>
      <c r="D21" s="15">
        <v>1</v>
      </c>
      <c r="E21" s="15">
        <v>0</v>
      </c>
      <c r="F21" s="15">
        <v>0</v>
      </c>
      <c r="G21" s="38" t="str">
        <f t="shared" si="0"/>
        <v>50</v>
      </c>
      <c r="H21" s="181"/>
      <c r="I21" s="182"/>
      <c r="J21" s="14"/>
      <c r="K21" s="17"/>
      <c r="L21" s="33"/>
      <c r="M21" s="32"/>
      <c r="N21" s="16"/>
      <c r="O21" s="15"/>
      <c r="P21" s="73"/>
      <c r="Q21" s="72">
        <f t="shared" si="1"/>
        <v>0</v>
      </c>
      <c r="R21" s="15"/>
      <c r="S21" s="6">
        <f t="shared" si="2"/>
        <v>50</v>
      </c>
    </row>
    <row r="22" spans="1:19" ht="99.95" customHeight="1" thickBot="1" x14ac:dyDescent="0.45">
      <c r="A22" s="35">
        <v>110</v>
      </c>
      <c r="B22" s="13" t="s">
        <v>71</v>
      </c>
      <c r="C22" s="15">
        <v>1</v>
      </c>
      <c r="D22" s="15">
        <v>1</v>
      </c>
      <c r="E22" s="15">
        <v>1</v>
      </c>
      <c r="F22" s="15">
        <v>1</v>
      </c>
      <c r="G22" s="38" t="str">
        <f t="shared" si="0"/>
        <v>100</v>
      </c>
      <c r="H22" s="181"/>
      <c r="I22" s="182"/>
      <c r="J22" s="14"/>
      <c r="K22" s="15"/>
      <c r="L22" s="33"/>
      <c r="M22" s="32"/>
      <c r="N22" s="16"/>
      <c r="O22" s="15"/>
      <c r="P22" s="73"/>
      <c r="Q22" s="72">
        <f t="shared" si="1"/>
        <v>0</v>
      </c>
      <c r="R22" s="15"/>
      <c r="S22" s="6">
        <f t="shared" si="2"/>
        <v>100</v>
      </c>
    </row>
    <row r="23" spans="1:19" ht="99.95" customHeight="1" thickBot="1" x14ac:dyDescent="0.45">
      <c r="A23" s="35">
        <v>111</v>
      </c>
      <c r="B23" s="13" t="s">
        <v>72</v>
      </c>
      <c r="C23" s="15">
        <v>1</v>
      </c>
      <c r="D23" s="15">
        <v>1</v>
      </c>
      <c r="E23" s="15">
        <v>0</v>
      </c>
      <c r="F23" s="15">
        <v>0</v>
      </c>
      <c r="G23" s="38" t="str">
        <f t="shared" si="0"/>
        <v>50</v>
      </c>
      <c r="H23" s="181"/>
      <c r="I23" s="182"/>
      <c r="J23" s="14"/>
      <c r="K23" s="15"/>
      <c r="L23" s="33"/>
      <c r="M23" s="32"/>
      <c r="N23" s="16"/>
      <c r="O23" s="15"/>
      <c r="P23" s="73"/>
      <c r="Q23" s="72">
        <f t="shared" si="1"/>
        <v>0</v>
      </c>
      <c r="R23" s="15"/>
      <c r="S23" s="6">
        <f t="shared" si="2"/>
        <v>50</v>
      </c>
    </row>
    <row r="24" spans="1:19" ht="99.95" customHeight="1" thickBot="1" x14ac:dyDescent="0.45">
      <c r="A24" s="35">
        <v>112</v>
      </c>
      <c r="B24" s="13"/>
      <c r="C24" s="15"/>
      <c r="D24" s="15"/>
      <c r="E24" s="15"/>
      <c r="F24" s="15"/>
      <c r="G24" s="38" t="str">
        <f t="shared" si="0"/>
        <v>0</v>
      </c>
      <c r="H24" s="181"/>
      <c r="I24" s="182"/>
      <c r="J24" s="14"/>
      <c r="K24" s="15"/>
      <c r="L24" s="33"/>
      <c r="M24" s="32"/>
      <c r="N24" s="16"/>
      <c r="O24" s="15"/>
      <c r="P24" s="73"/>
      <c r="Q24" s="72">
        <f t="shared" si="1"/>
        <v>0</v>
      </c>
      <c r="R24" s="15"/>
      <c r="S24" s="6">
        <f t="shared" si="2"/>
        <v>0</v>
      </c>
    </row>
    <row r="25" spans="1:19" ht="99.95" customHeight="1" thickBot="1" x14ac:dyDescent="0.45">
      <c r="A25" s="35">
        <v>113</v>
      </c>
      <c r="B25" s="13"/>
      <c r="C25" s="15"/>
      <c r="D25" s="15"/>
      <c r="E25" s="15"/>
      <c r="F25" s="15"/>
      <c r="G25" s="38" t="str">
        <f t="shared" si="0"/>
        <v>0</v>
      </c>
      <c r="H25" s="181"/>
      <c r="I25" s="182"/>
      <c r="J25" s="14"/>
      <c r="K25" s="15"/>
      <c r="L25" s="33"/>
      <c r="M25" s="32"/>
      <c r="N25" s="16"/>
      <c r="O25" s="15"/>
      <c r="P25" s="73"/>
      <c r="Q25" s="72">
        <f t="shared" si="1"/>
        <v>0</v>
      </c>
      <c r="R25" s="15"/>
      <c r="S25" s="6">
        <f t="shared" si="2"/>
        <v>0</v>
      </c>
    </row>
    <row r="26" spans="1:19" ht="99.95" customHeight="1" thickBot="1" x14ac:dyDescent="0.45">
      <c r="A26" s="35">
        <v>124</v>
      </c>
      <c r="B26" s="13"/>
      <c r="C26" s="15"/>
      <c r="D26" s="15"/>
      <c r="E26" s="15"/>
      <c r="F26" s="15"/>
      <c r="G26" s="38" t="str">
        <f t="shared" ref="G26:G28" si="3">IF(C26=1,IF(D26=1,IF(E26=1,IF(F26=1,"100","75"),"50"),"25"),"0")</f>
        <v>0</v>
      </c>
      <c r="H26" s="181"/>
      <c r="I26" s="182"/>
      <c r="J26" s="14"/>
      <c r="K26" s="15"/>
      <c r="L26" s="33"/>
      <c r="M26" s="32"/>
      <c r="N26" s="16"/>
      <c r="O26" s="15"/>
      <c r="P26" s="73"/>
      <c r="Q26" s="72">
        <f t="shared" ref="Q26:Q28" si="4">P26*K26</f>
        <v>0</v>
      </c>
      <c r="R26" s="15"/>
      <c r="S26" s="6">
        <f t="shared" ref="S26:S28" si="5">VALUE(G26)</f>
        <v>0</v>
      </c>
    </row>
    <row r="27" spans="1:19" ht="99.95" customHeight="1" thickBot="1" x14ac:dyDescent="0.45">
      <c r="A27" s="35">
        <v>124</v>
      </c>
      <c r="B27" s="13"/>
      <c r="C27" s="15"/>
      <c r="D27" s="15"/>
      <c r="E27" s="15"/>
      <c r="F27" s="15"/>
      <c r="G27" s="38" t="str">
        <f t="shared" si="3"/>
        <v>0</v>
      </c>
      <c r="H27" s="181"/>
      <c r="I27" s="182"/>
      <c r="J27" s="14"/>
      <c r="K27" s="15"/>
      <c r="L27" s="33"/>
      <c r="M27" s="32"/>
      <c r="N27" s="16"/>
      <c r="O27" s="15"/>
      <c r="P27" s="73"/>
      <c r="Q27" s="72">
        <f t="shared" si="4"/>
        <v>0</v>
      </c>
      <c r="R27" s="15"/>
      <c r="S27" s="6">
        <f t="shared" si="5"/>
        <v>0</v>
      </c>
    </row>
    <row r="28" spans="1:19" ht="99.95" customHeight="1" thickBot="1" x14ac:dyDescent="0.45">
      <c r="A28" s="35">
        <v>124</v>
      </c>
      <c r="B28" s="13"/>
      <c r="C28" s="15"/>
      <c r="D28" s="15"/>
      <c r="E28" s="15"/>
      <c r="F28" s="15"/>
      <c r="G28" s="38" t="str">
        <f t="shared" si="3"/>
        <v>0</v>
      </c>
      <c r="H28" s="181"/>
      <c r="I28" s="182"/>
      <c r="J28" s="14"/>
      <c r="K28" s="15"/>
      <c r="L28" s="33"/>
      <c r="M28" s="32"/>
      <c r="N28" s="16"/>
      <c r="O28" s="15"/>
      <c r="P28" s="73"/>
      <c r="Q28" s="72">
        <f t="shared" si="4"/>
        <v>0</v>
      </c>
      <c r="R28" s="15"/>
      <c r="S28" s="6">
        <f t="shared" si="5"/>
        <v>0</v>
      </c>
    </row>
    <row r="29" spans="1:19" ht="99.95" customHeight="1" thickBot="1" x14ac:dyDescent="0.45">
      <c r="A29" s="35">
        <v>124</v>
      </c>
      <c r="B29" s="13"/>
      <c r="C29" s="15"/>
      <c r="D29" s="15"/>
      <c r="E29" s="15"/>
      <c r="F29" s="15"/>
      <c r="G29" s="38" t="str">
        <f t="shared" ref="G29:G30" si="6">IF(C29=1,IF(D29=1,IF(E29=1,IF(F29=1,"100","75"),"50"),"25"),"0")</f>
        <v>0</v>
      </c>
      <c r="H29" s="181"/>
      <c r="I29" s="182"/>
      <c r="J29" s="14"/>
      <c r="K29" s="15"/>
      <c r="L29" s="33"/>
      <c r="M29" s="32"/>
      <c r="N29" s="16"/>
      <c r="O29" s="15"/>
      <c r="P29" s="73"/>
      <c r="Q29" s="72">
        <f t="shared" ref="Q29:Q30" si="7">P29*K29</f>
        <v>0</v>
      </c>
      <c r="R29" s="15"/>
      <c r="S29" s="6">
        <f t="shared" ref="S29:S30" si="8">VALUE(G29)</f>
        <v>0</v>
      </c>
    </row>
    <row r="30" spans="1:19" ht="99.95" customHeight="1" thickBot="1" x14ac:dyDescent="0.45">
      <c r="A30" s="35">
        <v>124</v>
      </c>
      <c r="B30" s="13"/>
      <c r="C30" s="15"/>
      <c r="D30" s="15"/>
      <c r="E30" s="15"/>
      <c r="F30" s="15"/>
      <c r="G30" s="38" t="str">
        <f t="shared" si="6"/>
        <v>0</v>
      </c>
      <c r="H30" s="181"/>
      <c r="I30" s="182"/>
      <c r="J30" s="14"/>
      <c r="K30" s="15"/>
      <c r="L30" s="33"/>
      <c r="M30" s="32"/>
      <c r="N30" s="16"/>
      <c r="O30" s="15"/>
      <c r="P30" s="73"/>
      <c r="Q30" s="72">
        <f t="shared" si="7"/>
        <v>0</v>
      </c>
      <c r="R30" s="15"/>
      <c r="S30" s="6">
        <f t="shared" si="8"/>
        <v>0</v>
      </c>
    </row>
  </sheetData>
  <mergeCells count="48">
    <mergeCell ref="R7:R8"/>
    <mergeCell ref="A1:R3"/>
    <mergeCell ref="A4:B4"/>
    <mergeCell ref="A5:B5"/>
    <mergeCell ref="N5:R5"/>
    <mergeCell ref="H4:R4"/>
    <mergeCell ref="C4:F4"/>
    <mergeCell ref="C5:F5"/>
    <mergeCell ref="H5:K5"/>
    <mergeCell ref="L5:M5"/>
    <mergeCell ref="A7:G8"/>
    <mergeCell ref="N7:O8"/>
    <mergeCell ref="H7:M8"/>
    <mergeCell ref="H22:I22"/>
    <mergeCell ref="H19:I19"/>
    <mergeCell ref="H20:I20"/>
    <mergeCell ref="H21:I21"/>
    <mergeCell ref="P10:P12"/>
    <mergeCell ref="H10:I12"/>
    <mergeCell ref="O10:O12"/>
    <mergeCell ref="M10:M12"/>
    <mergeCell ref="R10:R12"/>
    <mergeCell ref="J10:J12"/>
    <mergeCell ref="N10:N12"/>
    <mergeCell ref="C10:G10"/>
    <mergeCell ref="A10:A12"/>
    <mergeCell ref="B10:B12"/>
    <mergeCell ref="G11:G12"/>
    <mergeCell ref="Q10:Q12"/>
    <mergeCell ref="C9:M9"/>
    <mergeCell ref="P7:P8"/>
    <mergeCell ref="Q7:Q8"/>
    <mergeCell ref="H18:I18"/>
    <mergeCell ref="H13:I13"/>
    <mergeCell ref="H14:I14"/>
    <mergeCell ref="H15:I15"/>
    <mergeCell ref="L10:L12"/>
    <mergeCell ref="H16:I16"/>
    <mergeCell ref="H17:I17"/>
    <mergeCell ref="K10:K12"/>
    <mergeCell ref="H30:I30"/>
    <mergeCell ref="H26:I26"/>
    <mergeCell ref="H27:I27"/>
    <mergeCell ref="H23:I23"/>
    <mergeCell ref="H24:I24"/>
    <mergeCell ref="H25:I25"/>
    <mergeCell ref="H28:I28"/>
    <mergeCell ref="H29:I29"/>
  </mergeCells>
  <conditionalFormatting sqref="G26">
    <cfRule type="colorScale" priority="9">
      <colorScale>
        <cfvo type="min"/>
        <cfvo type="num" val="0"/>
        <cfvo type="max"/>
        <color rgb="FFF8696B"/>
        <color rgb="FFFFEB84"/>
        <color rgb="FF63BE7B"/>
      </colorScale>
    </cfRule>
  </conditionalFormatting>
  <conditionalFormatting sqref="G27">
    <cfRule type="colorScale" priority="7">
      <colorScale>
        <cfvo type="min"/>
        <cfvo type="num" val="0"/>
        <cfvo type="max"/>
        <color rgb="FFF8696B"/>
        <color rgb="FFFFEB84"/>
        <color rgb="FF63BE7B"/>
      </colorScale>
    </cfRule>
  </conditionalFormatting>
  <conditionalFormatting sqref="G28">
    <cfRule type="colorScale" priority="5">
      <colorScale>
        <cfvo type="min"/>
        <cfvo type="num" val="0"/>
        <cfvo type="max"/>
        <color rgb="FFF8696B"/>
        <color rgb="FFFFEB84"/>
        <color rgb="FF63BE7B"/>
      </colorScale>
    </cfRule>
  </conditionalFormatting>
  <conditionalFormatting sqref="G29">
    <cfRule type="colorScale" priority="3">
      <colorScale>
        <cfvo type="min"/>
        <cfvo type="num" val="0"/>
        <cfvo type="max"/>
        <color rgb="FFF8696B"/>
        <color rgb="FFFFEB84"/>
        <color rgb="FF63BE7B"/>
      </colorScale>
    </cfRule>
  </conditionalFormatting>
  <conditionalFormatting sqref="G30">
    <cfRule type="colorScale" priority="1">
      <colorScale>
        <cfvo type="min"/>
        <cfvo type="num" val="0"/>
        <cfvo type="max"/>
        <color rgb="FFF8696B"/>
        <color rgb="FFFFEB84"/>
        <color rgb="FF63BE7B"/>
      </colorScale>
    </cfRule>
  </conditionalFormatting>
  <conditionalFormatting sqref="G13:G25">
    <cfRule type="colorScale" priority="58">
      <colorScale>
        <cfvo type="min"/>
        <cfvo type="num" val="0"/>
        <cfvo type="max"/>
        <color rgb="FFF8696B"/>
        <color rgb="FFFFEB84"/>
        <color rgb="FF63BE7B"/>
      </colorScale>
    </cfRule>
  </conditionalFormatting>
  <dataValidations count="1">
    <dataValidation type="list" allowBlank="1" showInputMessage="1" showErrorMessage="1" sqref="O13:O30">
      <formula1>PROVEEDORES</formula1>
    </dataValidation>
  </dataValidations>
  <pageMargins left="0.70866141732283472" right="0.70866141732283472" top="0.74803149606299213" bottom="0.74803149606299213" header="0.31496062992125984" footer="0.31496062992125984"/>
  <pageSetup scale="36" orientation="landscape" r:id="rId1"/>
  <drawing r:id="rId2"/>
  <legacyDrawing r:id="rId3"/>
  <extLst>
    <ext xmlns:x14="http://schemas.microsoft.com/office/spreadsheetml/2009/9/main" uri="{78C0D931-6437-407d-A8EE-F0AAD7539E65}">
      <x14:conditionalFormattings>
        <x14:conditionalFormatting xmlns:xm="http://schemas.microsoft.com/office/excel/2006/main">
          <x14:cfRule type="iconSet" priority="10" id="{540B8CB6-E5E0-48C0-8617-A6D09BBA5826}">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C26:F26</xm:sqref>
        </x14:conditionalFormatting>
        <x14:conditionalFormatting xmlns:xm="http://schemas.microsoft.com/office/excel/2006/main">
          <x14:cfRule type="iconSet" priority="8" id="{55DBA628-C875-49B4-8D30-0F9E40288292}">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C27:F27</xm:sqref>
        </x14:conditionalFormatting>
        <x14:conditionalFormatting xmlns:xm="http://schemas.microsoft.com/office/excel/2006/main">
          <x14:cfRule type="iconSet" priority="6" id="{6B6B5210-B2A0-4768-A47B-E3F721874498}">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C28:F28</xm:sqref>
        </x14:conditionalFormatting>
        <x14:conditionalFormatting xmlns:xm="http://schemas.microsoft.com/office/excel/2006/main">
          <x14:cfRule type="iconSet" priority="4" id="{3270F922-71FF-4666-A2B9-CD747AC7563F}">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C29:F29</xm:sqref>
        </x14:conditionalFormatting>
        <x14:conditionalFormatting xmlns:xm="http://schemas.microsoft.com/office/excel/2006/main">
          <x14:cfRule type="iconSet" priority="2" id="{22B72ED3-9C27-4276-949B-644C8C06F1E6}">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C30:F30</xm:sqref>
        </x14:conditionalFormatting>
        <x14:conditionalFormatting xmlns:xm="http://schemas.microsoft.com/office/excel/2006/main">
          <x14:cfRule type="iconSet" priority="59" id="{DE815144-9DAC-4E50-9F9B-F5ADB66C43ED}">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C13:F25</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pageSetUpPr fitToPage="1"/>
  </sheetPr>
  <dimension ref="A1:S40"/>
  <sheetViews>
    <sheetView showGridLines="0" topLeftCell="C7" zoomScale="80" zoomScaleNormal="80" workbookViewId="0">
      <selection activeCell="J15" sqref="J15"/>
    </sheetView>
  </sheetViews>
  <sheetFormatPr baseColWidth="10" defaultColWidth="11.42578125" defaultRowHeight="18.75" x14ac:dyDescent="0.4"/>
  <cols>
    <col min="1" max="1" width="9.85546875" style="1" customWidth="1"/>
    <col min="2" max="2" width="22.7109375" style="1" customWidth="1"/>
    <col min="3" max="6" width="16.7109375" style="1" customWidth="1"/>
    <col min="7" max="7" width="22.140625" style="1" customWidth="1"/>
    <col min="8" max="9" width="11.42578125" style="1"/>
    <col min="10" max="10" width="24.5703125" style="1" customWidth="1"/>
    <col min="11" max="11" width="12.5703125" style="1" customWidth="1"/>
    <col min="12" max="14" width="18.7109375" style="1" customWidth="1"/>
    <col min="15" max="15" width="20.7109375" style="1" customWidth="1"/>
    <col min="16" max="17" width="20.7109375" style="66" customWidth="1"/>
    <col min="18" max="18" width="37" style="1" customWidth="1"/>
    <col min="19" max="16384" width="11.42578125" style="1"/>
  </cols>
  <sheetData>
    <row r="1" spans="1:19" ht="15" customHeight="1" x14ac:dyDescent="0.4">
      <c r="A1" s="209" t="s">
        <v>44</v>
      </c>
      <c r="B1" s="210"/>
      <c r="C1" s="210"/>
      <c r="D1" s="210"/>
      <c r="E1" s="210"/>
      <c r="F1" s="210"/>
      <c r="G1" s="210"/>
      <c r="H1" s="210"/>
      <c r="I1" s="210"/>
      <c r="J1" s="210"/>
      <c r="K1" s="210"/>
      <c r="L1" s="210"/>
      <c r="M1" s="210"/>
      <c r="N1" s="210"/>
      <c r="O1" s="210"/>
      <c r="P1" s="210"/>
      <c r="Q1" s="210"/>
      <c r="R1" s="211"/>
    </row>
    <row r="2" spans="1:19" ht="15" customHeight="1" x14ac:dyDescent="0.4">
      <c r="A2" s="212"/>
      <c r="B2" s="213"/>
      <c r="C2" s="213"/>
      <c r="D2" s="213"/>
      <c r="E2" s="213"/>
      <c r="F2" s="213"/>
      <c r="G2" s="213"/>
      <c r="H2" s="213"/>
      <c r="I2" s="213"/>
      <c r="J2" s="213"/>
      <c r="K2" s="213"/>
      <c r="L2" s="213"/>
      <c r="M2" s="213"/>
      <c r="N2" s="213"/>
      <c r="O2" s="213"/>
      <c r="P2" s="213"/>
      <c r="Q2" s="213"/>
      <c r="R2" s="214"/>
    </row>
    <row r="3" spans="1:19" ht="46.5" customHeight="1" thickBot="1" x14ac:dyDescent="0.45">
      <c r="A3" s="212"/>
      <c r="B3" s="213"/>
      <c r="C3" s="213"/>
      <c r="D3" s="213"/>
      <c r="E3" s="213"/>
      <c r="F3" s="213"/>
      <c r="G3" s="213"/>
      <c r="H3" s="213"/>
      <c r="I3" s="213"/>
      <c r="J3" s="213"/>
      <c r="K3" s="213"/>
      <c r="L3" s="213"/>
      <c r="M3" s="213"/>
      <c r="N3" s="213"/>
      <c r="O3" s="213"/>
      <c r="P3" s="213"/>
      <c r="Q3" s="213"/>
      <c r="R3" s="214"/>
    </row>
    <row r="4" spans="1:19" s="7" customFormat="1" ht="39.950000000000003" customHeight="1" thickBot="1" x14ac:dyDescent="0.65">
      <c r="A4" s="215" t="s">
        <v>22</v>
      </c>
      <c r="B4" s="216"/>
      <c r="C4" s="222">
        <f>PORTADA!B5</f>
        <v>1360</v>
      </c>
      <c r="D4" s="222"/>
      <c r="E4" s="222"/>
      <c r="F4" s="222"/>
      <c r="G4" s="2" t="s">
        <v>16</v>
      </c>
      <c r="H4" s="222" t="str">
        <f>PORTADA!E5</f>
        <v>Exoesqueleto Waist Support</v>
      </c>
      <c r="I4" s="222"/>
      <c r="J4" s="222"/>
      <c r="K4" s="222"/>
      <c r="L4" s="222"/>
      <c r="M4" s="222"/>
      <c r="N4" s="222"/>
      <c r="O4" s="222"/>
      <c r="P4" s="222"/>
      <c r="Q4" s="222"/>
      <c r="R4" s="223"/>
    </row>
    <row r="5" spans="1:19" s="7" customFormat="1" ht="39.950000000000003" customHeight="1" thickBot="1" x14ac:dyDescent="0.65">
      <c r="A5" s="217" t="s">
        <v>15</v>
      </c>
      <c r="B5" s="218"/>
      <c r="C5" s="224" t="str">
        <f>PORTADA!B7</f>
        <v>07.12.2021</v>
      </c>
      <c r="D5" s="225"/>
      <c r="E5" s="225"/>
      <c r="F5" s="226"/>
      <c r="G5" s="57" t="s">
        <v>17</v>
      </c>
      <c r="H5" s="219" t="str">
        <f>PORTADA!E7</f>
        <v>KOTEOS</v>
      </c>
      <c r="I5" s="220"/>
      <c r="J5" s="220"/>
      <c r="K5" s="221"/>
      <c r="L5" s="215" t="s">
        <v>18</v>
      </c>
      <c r="M5" s="216"/>
      <c r="N5" s="219" t="str">
        <f>PORTADA!I7</f>
        <v>M.Gutiérrez</v>
      </c>
      <c r="O5" s="220"/>
      <c r="P5" s="220"/>
      <c r="Q5" s="220"/>
      <c r="R5" s="221"/>
    </row>
    <row r="6" spans="1:19" ht="12.75" customHeight="1" thickBot="1" x14ac:dyDescent="0.45"/>
    <row r="7" spans="1:19" s="7" customFormat="1" ht="25.5" customHeight="1" x14ac:dyDescent="0.6">
      <c r="A7" s="227">
        <f>PORTADA!A17</f>
        <v>0</v>
      </c>
      <c r="B7" s="228"/>
      <c r="C7" s="228"/>
      <c r="D7" s="228"/>
      <c r="E7" s="228"/>
      <c r="F7" s="228"/>
      <c r="G7" s="229"/>
      <c r="H7" s="237" t="s">
        <v>6</v>
      </c>
      <c r="I7" s="238"/>
      <c r="J7" s="238"/>
      <c r="K7" s="238"/>
      <c r="L7" s="238"/>
      <c r="M7" s="239"/>
      <c r="N7" s="233">
        <f>AVERAGE(S13:S14)</f>
        <v>50</v>
      </c>
      <c r="O7" s="234"/>
      <c r="P7" s="184" t="s">
        <v>20</v>
      </c>
      <c r="Q7" s="186" t="s">
        <v>46</v>
      </c>
      <c r="R7" s="207">
        <f>SUM(Q13:Q54)</f>
        <v>0</v>
      </c>
    </row>
    <row r="8" spans="1:19" s="7" customFormat="1" ht="19.5" customHeight="1" thickBot="1" x14ac:dyDescent="0.65">
      <c r="A8" s="230"/>
      <c r="B8" s="231"/>
      <c r="C8" s="231"/>
      <c r="D8" s="231"/>
      <c r="E8" s="231"/>
      <c r="F8" s="231"/>
      <c r="G8" s="232"/>
      <c r="H8" s="240"/>
      <c r="I8" s="241"/>
      <c r="J8" s="241"/>
      <c r="K8" s="241"/>
      <c r="L8" s="241"/>
      <c r="M8" s="242"/>
      <c r="N8" s="235"/>
      <c r="O8" s="236"/>
      <c r="P8" s="185"/>
      <c r="Q8" s="187"/>
      <c r="R8" s="208"/>
    </row>
    <row r="9" spans="1:19" ht="13.5" customHeight="1" thickBot="1" x14ac:dyDescent="0.45">
      <c r="A9" s="8"/>
      <c r="B9" s="9"/>
      <c r="C9" s="183"/>
      <c r="D9" s="183"/>
      <c r="E9" s="183"/>
      <c r="F9" s="183"/>
      <c r="G9" s="183"/>
      <c r="H9" s="183"/>
      <c r="I9" s="183"/>
      <c r="J9" s="183"/>
      <c r="K9" s="183"/>
      <c r="L9" s="183"/>
      <c r="M9" s="183"/>
      <c r="N9" s="10"/>
      <c r="O9" s="11"/>
      <c r="P9" s="67"/>
      <c r="Q9" s="67"/>
      <c r="R9" s="12"/>
    </row>
    <row r="10" spans="1:19" ht="18.75" customHeight="1" thickBot="1" x14ac:dyDescent="0.45">
      <c r="A10" s="190" t="s">
        <v>38</v>
      </c>
      <c r="B10" s="190" t="s">
        <v>13</v>
      </c>
      <c r="C10" s="193" t="s">
        <v>12</v>
      </c>
      <c r="D10" s="194"/>
      <c r="E10" s="194"/>
      <c r="F10" s="194"/>
      <c r="G10" s="195"/>
      <c r="H10" s="201" t="s">
        <v>0</v>
      </c>
      <c r="I10" s="202"/>
      <c r="J10" s="190" t="s">
        <v>11</v>
      </c>
      <c r="K10" s="190" t="s">
        <v>10</v>
      </c>
      <c r="L10" s="190" t="s">
        <v>24</v>
      </c>
      <c r="M10" s="202" t="s">
        <v>25</v>
      </c>
      <c r="N10" s="190" t="s">
        <v>26</v>
      </c>
      <c r="O10" s="190" t="s">
        <v>8</v>
      </c>
      <c r="P10" s="68"/>
      <c r="Q10" s="68"/>
      <c r="R10" s="190" t="s">
        <v>9</v>
      </c>
    </row>
    <row r="11" spans="1:19" ht="19.5" thickBot="1" x14ac:dyDescent="0.45">
      <c r="A11" s="191"/>
      <c r="B11" s="191"/>
      <c r="C11" s="4" t="s">
        <v>39</v>
      </c>
      <c r="D11" s="4" t="s">
        <v>40</v>
      </c>
      <c r="E11" s="4" t="s">
        <v>41</v>
      </c>
      <c r="F11" s="4" t="s">
        <v>42</v>
      </c>
      <c r="G11" s="196" t="s">
        <v>5</v>
      </c>
      <c r="H11" s="203"/>
      <c r="I11" s="204"/>
      <c r="J11" s="191"/>
      <c r="K11" s="191"/>
      <c r="L11" s="191"/>
      <c r="M11" s="204"/>
      <c r="N11" s="191"/>
      <c r="O11" s="191"/>
      <c r="P11" s="69" t="s">
        <v>36</v>
      </c>
      <c r="Q11" s="69" t="s">
        <v>33</v>
      </c>
      <c r="R11" s="191"/>
    </row>
    <row r="12" spans="1:19" ht="16.5" customHeight="1" thickBot="1" x14ac:dyDescent="0.45">
      <c r="A12" s="192"/>
      <c r="B12" s="192"/>
      <c r="C12" s="5">
        <v>0.25</v>
      </c>
      <c r="D12" s="5">
        <v>0.5</v>
      </c>
      <c r="E12" s="5">
        <v>0.75</v>
      </c>
      <c r="F12" s="5">
        <v>1</v>
      </c>
      <c r="G12" s="197"/>
      <c r="H12" s="205"/>
      <c r="I12" s="206"/>
      <c r="J12" s="192"/>
      <c r="K12" s="192"/>
      <c r="L12" s="192"/>
      <c r="M12" s="206"/>
      <c r="N12" s="192"/>
      <c r="O12" s="192"/>
      <c r="P12" s="70"/>
      <c r="Q12" s="70"/>
      <c r="R12" s="192"/>
    </row>
    <row r="13" spans="1:19" ht="99.95" customHeight="1" thickBot="1" x14ac:dyDescent="0.45">
      <c r="A13" s="35">
        <v>1</v>
      </c>
      <c r="B13" s="13" t="s">
        <v>74</v>
      </c>
      <c r="C13" s="15">
        <v>1</v>
      </c>
      <c r="D13" s="15">
        <v>1</v>
      </c>
      <c r="E13" s="15">
        <v>1</v>
      </c>
      <c r="F13" s="15">
        <v>1</v>
      </c>
      <c r="G13" s="38" t="str">
        <f t="shared" ref="G13" si="0">IF(C13=1,IF(D13=1,IF(E13=1,IF(F13=1,"100","75"),"50"),"25"),"0")</f>
        <v>100</v>
      </c>
      <c r="H13" s="181"/>
      <c r="I13" s="182"/>
      <c r="J13" s="14"/>
      <c r="K13" s="15"/>
      <c r="L13" s="33"/>
      <c r="M13" s="32"/>
      <c r="N13" s="16"/>
      <c r="O13" s="15"/>
      <c r="P13" s="73"/>
      <c r="Q13" s="72">
        <f t="shared" ref="Q13" si="1">P13*K13</f>
        <v>0</v>
      </c>
      <c r="R13" s="15"/>
      <c r="S13" s="6">
        <f t="shared" ref="S13" si="2">VALUE(G13)</f>
        <v>100</v>
      </c>
    </row>
    <row r="14" spans="1:19" ht="99.95" customHeight="1" thickBot="1" x14ac:dyDescent="0.45">
      <c r="A14" s="35">
        <v>2</v>
      </c>
      <c r="B14" s="36" t="s">
        <v>75</v>
      </c>
      <c r="C14" s="59" t="s">
        <v>73</v>
      </c>
      <c r="D14" s="59" t="s">
        <v>73</v>
      </c>
      <c r="E14" s="59" t="s">
        <v>73</v>
      </c>
      <c r="F14" s="59" t="s">
        <v>73</v>
      </c>
      <c r="G14" s="60" t="str">
        <f t="shared" ref="G14:G28" si="3">IF(C14=1,IF(D14=1,IF(E14=1,IF(F14=1,"100","75"),"50"),"25"),"0")</f>
        <v>0</v>
      </c>
      <c r="H14" s="243"/>
      <c r="I14" s="244"/>
      <c r="J14" s="55"/>
      <c r="K14" s="59"/>
      <c r="L14" s="61"/>
      <c r="M14" s="61"/>
      <c r="N14" s="62"/>
      <c r="O14" s="55"/>
      <c r="P14" s="71"/>
      <c r="Q14" s="71">
        <f t="shared" ref="Q14:Q40" si="4">P14*K14</f>
        <v>0</v>
      </c>
      <c r="R14" s="55"/>
      <c r="S14" s="6">
        <f t="shared" ref="S14:S29" si="5">VALUE(G14)</f>
        <v>0</v>
      </c>
    </row>
    <row r="15" spans="1:19" ht="99.95" customHeight="1" thickBot="1" x14ac:dyDescent="0.45">
      <c r="A15" s="35">
        <v>3</v>
      </c>
      <c r="B15" s="36"/>
      <c r="C15" s="59"/>
      <c r="D15" s="59"/>
      <c r="E15" s="59"/>
      <c r="F15" s="59"/>
      <c r="G15" s="60" t="str">
        <f t="shared" si="3"/>
        <v>0</v>
      </c>
      <c r="H15" s="243"/>
      <c r="I15" s="244"/>
      <c r="J15" s="55"/>
      <c r="K15" s="59"/>
      <c r="L15" s="61"/>
      <c r="M15" s="61"/>
      <c r="N15" s="62"/>
      <c r="O15" s="55"/>
      <c r="P15" s="71"/>
      <c r="Q15" s="71">
        <f t="shared" si="4"/>
        <v>0</v>
      </c>
      <c r="R15" s="55"/>
      <c r="S15" s="6">
        <f t="shared" si="5"/>
        <v>0</v>
      </c>
    </row>
    <row r="16" spans="1:19" ht="99.95" customHeight="1" thickBot="1" x14ac:dyDescent="0.45">
      <c r="A16" s="35">
        <v>4</v>
      </c>
      <c r="B16" s="36"/>
      <c r="C16" s="59"/>
      <c r="D16" s="59"/>
      <c r="E16" s="59"/>
      <c r="F16" s="59"/>
      <c r="G16" s="60" t="str">
        <f t="shared" si="3"/>
        <v>0</v>
      </c>
      <c r="H16" s="243"/>
      <c r="I16" s="244"/>
      <c r="J16" s="55"/>
      <c r="K16" s="59"/>
      <c r="L16" s="61"/>
      <c r="M16" s="61"/>
      <c r="N16" s="56"/>
      <c r="O16" s="55"/>
      <c r="P16" s="71"/>
      <c r="Q16" s="71">
        <f t="shared" si="4"/>
        <v>0</v>
      </c>
      <c r="R16" s="55"/>
      <c r="S16" s="6">
        <f t="shared" si="5"/>
        <v>0</v>
      </c>
    </row>
    <row r="17" spans="1:19" ht="99.95" customHeight="1" thickBot="1" x14ac:dyDescent="0.45">
      <c r="A17" s="35"/>
      <c r="B17" s="36"/>
      <c r="C17" s="59"/>
      <c r="D17" s="59"/>
      <c r="E17" s="59"/>
      <c r="F17" s="59"/>
      <c r="G17" s="60" t="str">
        <f t="shared" si="3"/>
        <v>0</v>
      </c>
      <c r="H17" s="243"/>
      <c r="I17" s="244"/>
      <c r="J17" s="55"/>
      <c r="K17" s="59"/>
      <c r="L17" s="61"/>
      <c r="M17" s="61"/>
      <c r="N17" s="56"/>
      <c r="O17" s="55"/>
      <c r="P17" s="71"/>
      <c r="Q17" s="71">
        <f t="shared" si="4"/>
        <v>0</v>
      </c>
      <c r="R17" s="55"/>
      <c r="S17" s="6">
        <f t="shared" si="5"/>
        <v>0</v>
      </c>
    </row>
    <row r="18" spans="1:19" ht="99.95" customHeight="1" thickBot="1" x14ac:dyDescent="0.45">
      <c r="A18" s="35"/>
      <c r="B18" s="36"/>
      <c r="C18" s="59"/>
      <c r="D18" s="59"/>
      <c r="E18" s="59"/>
      <c r="F18" s="59"/>
      <c r="G18" s="60" t="str">
        <f t="shared" si="3"/>
        <v>0</v>
      </c>
      <c r="H18" s="243"/>
      <c r="I18" s="244"/>
      <c r="J18" s="55"/>
      <c r="K18" s="59"/>
      <c r="L18" s="61"/>
      <c r="M18" s="61"/>
      <c r="N18" s="56"/>
      <c r="O18" s="55"/>
      <c r="P18" s="71"/>
      <c r="Q18" s="71">
        <f t="shared" si="4"/>
        <v>0</v>
      </c>
      <c r="R18" s="55"/>
      <c r="S18" s="6">
        <f t="shared" si="5"/>
        <v>0</v>
      </c>
    </row>
    <row r="19" spans="1:19" ht="99.95" customHeight="1" thickBot="1" x14ac:dyDescent="0.45">
      <c r="A19" s="35"/>
      <c r="B19" s="36"/>
      <c r="C19" s="59"/>
      <c r="D19" s="59"/>
      <c r="E19" s="59"/>
      <c r="F19" s="59"/>
      <c r="G19" s="60" t="str">
        <f t="shared" si="3"/>
        <v>0</v>
      </c>
      <c r="H19" s="243"/>
      <c r="I19" s="244"/>
      <c r="J19" s="55"/>
      <c r="K19" s="59"/>
      <c r="L19" s="61"/>
      <c r="M19" s="61"/>
      <c r="N19" s="56"/>
      <c r="O19" s="55"/>
      <c r="P19" s="71"/>
      <c r="Q19" s="71">
        <f t="shared" si="4"/>
        <v>0</v>
      </c>
      <c r="R19" s="55"/>
      <c r="S19" s="6">
        <f t="shared" si="5"/>
        <v>0</v>
      </c>
    </row>
    <row r="20" spans="1:19" ht="99.95" customHeight="1" thickBot="1" x14ac:dyDescent="0.45">
      <c r="A20" s="35"/>
      <c r="B20" s="36"/>
      <c r="C20" s="59"/>
      <c r="D20" s="59"/>
      <c r="E20" s="59"/>
      <c r="F20" s="59"/>
      <c r="G20" s="60" t="str">
        <f t="shared" si="3"/>
        <v>0</v>
      </c>
      <c r="H20" s="243"/>
      <c r="I20" s="244"/>
      <c r="J20" s="55"/>
      <c r="K20" s="59"/>
      <c r="L20" s="61"/>
      <c r="M20" s="61"/>
      <c r="N20" s="56"/>
      <c r="O20" s="55"/>
      <c r="P20" s="71"/>
      <c r="Q20" s="71">
        <f t="shared" si="4"/>
        <v>0</v>
      </c>
      <c r="R20" s="55"/>
      <c r="S20" s="6">
        <f t="shared" si="5"/>
        <v>0</v>
      </c>
    </row>
    <row r="21" spans="1:19" ht="99.95" customHeight="1" thickBot="1" x14ac:dyDescent="0.45">
      <c r="A21" s="35"/>
      <c r="B21" s="36"/>
      <c r="C21" s="59"/>
      <c r="D21" s="59"/>
      <c r="E21" s="59"/>
      <c r="F21" s="59"/>
      <c r="G21" s="60" t="str">
        <f t="shared" si="3"/>
        <v>0</v>
      </c>
      <c r="H21" s="243"/>
      <c r="I21" s="244"/>
      <c r="J21" s="55"/>
      <c r="K21" s="59"/>
      <c r="L21" s="61"/>
      <c r="M21" s="61"/>
      <c r="N21" s="56"/>
      <c r="O21" s="55"/>
      <c r="P21" s="71"/>
      <c r="Q21" s="71">
        <f t="shared" si="4"/>
        <v>0</v>
      </c>
      <c r="R21" s="55"/>
      <c r="S21" s="6">
        <f t="shared" si="5"/>
        <v>0</v>
      </c>
    </row>
    <row r="22" spans="1:19" ht="99.95" customHeight="1" thickBot="1" x14ac:dyDescent="0.45">
      <c r="A22" s="35"/>
      <c r="B22" s="36"/>
      <c r="C22" s="59"/>
      <c r="D22" s="59"/>
      <c r="E22" s="59"/>
      <c r="F22" s="59"/>
      <c r="G22" s="60" t="str">
        <f t="shared" si="3"/>
        <v>0</v>
      </c>
      <c r="H22" s="243"/>
      <c r="I22" s="244"/>
      <c r="J22" s="55"/>
      <c r="K22" s="59"/>
      <c r="L22" s="61"/>
      <c r="M22" s="61"/>
      <c r="N22" s="56"/>
      <c r="O22" s="55"/>
      <c r="P22" s="71"/>
      <c r="Q22" s="71">
        <f t="shared" si="4"/>
        <v>0</v>
      </c>
      <c r="R22" s="55"/>
      <c r="S22" s="6">
        <f t="shared" si="5"/>
        <v>0</v>
      </c>
    </row>
    <row r="23" spans="1:19" ht="99.95" customHeight="1" thickBot="1" x14ac:dyDescent="0.45">
      <c r="A23" s="35"/>
      <c r="B23" s="36"/>
      <c r="C23" s="59"/>
      <c r="D23" s="59"/>
      <c r="E23" s="59"/>
      <c r="F23" s="59"/>
      <c r="G23" s="60" t="str">
        <f t="shared" si="3"/>
        <v>0</v>
      </c>
      <c r="H23" s="243"/>
      <c r="I23" s="244"/>
      <c r="J23" s="55"/>
      <c r="K23" s="59"/>
      <c r="L23" s="61"/>
      <c r="M23" s="61"/>
      <c r="N23" s="56"/>
      <c r="O23" s="55"/>
      <c r="P23" s="71"/>
      <c r="Q23" s="71">
        <f t="shared" si="4"/>
        <v>0</v>
      </c>
      <c r="R23" s="55"/>
      <c r="S23" s="6">
        <f t="shared" si="5"/>
        <v>0</v>
      </c>
    </row>
    <row r="24" spans="1:19" ht="99.95" customHeight="1" thickBot="1" x14ac:dyDescent="0.45">
      <c r="A24" s="35"/>
      <c r="B24" s="36"/>
      <c r="C24" s="59"/>
      <c r="D24" s="59"/>
      <c r="E24" s="59"/>
      <c r="F24" s="59"/>
      <c r="G24" s="60" t="str">
        <f t="shared" si="3"/>
        <v>0</v>
      </c>
      <c r="H24" s="243"/>
      <c r="I24" s="244"/>
      <c r="J24" s="55"/>
      <c r="K24" s="59"/>
      <c r="L24" s="61"/>
      <c r="M24" s="61"/>
      <c r="N24" s="56"/>
      <c r="O24" s="55"/>
      <c r="P24" s="71"/>
      <c r="Q24" s="71">
        <f t="shared" si="4"/>
        <v>0</v>
      </c>
      <c r="R24" s="55"/>
      <c r="S24" s="6">
        <f t="shared" si="5"/>
        <v>0</v>
      </c>
    </row>
    <row r="25" spans="1:19" ht="99.95" customHeight="1" thickBot="1" x14ac:dyDescent="0.45">
      <c r="A25" s="35"/>
      <c r="B25" s="36"/>
      <c r="C25" s="59"/>
      <c r="D25" s="59"/>
      <c r="E25" s="59"/>
      <c r="F25" s="59"/>
      <c r="G25" s="60" t="str">
        <f t="shared" si="3"/>
        <v>0</v>
      </c>
      <c r="H25" s="243"/>
      <c r="I25" s="244"/>
      <c r="J25" s="55"/>
      <c r="K25" s="59"/>
      <c r="L25" s="61"/>
      <c r="M25" s="61"/>
      <c r="N25" s="56"/>
      <c r="O25" s="55"/>
      <c r="P25" s="71"/>
      <c r="Q25" s="71">
        <f t="shared" si="4"/>
        <v>0</v>
      </c>
      <c r="R25" s="55"/>
      <c r="S25" s="6">
        <f t="shared" si="5"/>
        <v>0</v>
      </c>
    </row>
    <row r="26" spans="1:19" ht="99.95" customHeight="1" thickBot="1" x14ac:dyDescent="0.45">
      <c r="A26" s="35"/>
      <c r="B26" s="36"/>
      <c r="C26" s="59"/>
      <c r="D26" s="59"/>
      <c r="E26" s="59"/>
      <c r="F26" s="59"/>
      <c r="G26" s="60" t="str">
        <f t="shared" si="3"/>
        <v>0</v>
      </c>
      <c r="H26" s="243"/>
      <c r="I26" s="244"/>
      <c r="J26" s="55"/>
      <c r="K26" s="59"/>
      <c r="L26" s="61"/>
      <c r="M26" s="61"/>
      <c r="N26" s="56"/>
      <c r="O26" s="55"/>
      <c r="P26" s="71"/>
      <c r="Q26" s="71">
        <f t="shared" si="4"/>
        <v>0</v>
      </c>
      <c r="R26" s="55"/>
      <c r="S26" s="6">
        <f t="shared" si="5"/>
        <v>0</v>
      </c>
    </row>
    <row r="27" spans="1:19" ht="99.95" customHeight="1" thickBot="1" x14ac:dyDescent="0.45">
      <c r="A27" s="35"/>
      <c r="B27" s="36"/>
      <c r="C27" s="59"/>
      <c r="D27" s="59"/>
      <c r="E27" s="59"/>
      <c r="F27" s="59"/>
      <c r="G27" s="60" t="str">
        <f t="shared" si="3"/>
        <v>0</v>
      </c>
      <c r="H27" s="243"/>
      <c r="I27" s="244"/>
      <c r="J27" s="55"/>
      <c r="K27" s="59"/>
      <c r="L27" s="61"/>
      <c r="M27" s="61"/>
      <c r="N27" s="56"/>
      <c r="O27" s="55"/>
      <c r="P27" s="71"/>
      <c r="Q27" s="71">
        <f t="shared" si="4"/>
        <v>0</v>
      </c>
      <c r="R27" s="55"/>
      <c r="S27" s="6">
        <f t="shared" si="5"/>
        <v>0</v>
      </c>
    </row>
    <row r="28" spans="1:19" ht="99.95" customHeight="1" thickBot="1" x14ac:dyDescent="0.45">
      <c r="A28" s="35"/>
      <c r="B28" s="36"/>
      <c r="C28" s="59"/>
      <c r="D28" s="59"/>
      <c r="E28" s="59"/>
      <c r="F28" s="59"/>
      <c r="G28" s="60" t="str">
        <f t="shared" si="3"/>
        <v>0</v>
      </c>
      <c r="H28" s="243"/>
      <c r="I28" s="244"/>
      <c r="J28" s="55"/>
      <c r="K28" s="59"/>
      <c r="L28" s="61"/>
      <c r="M28" s="61"/>
      <c r="N28" s="56"/>
      <c r="O28" s="55"/>
      <c r="P28" s="71"/>
      <c r="Q28" s="71">
        <f t="shared" si="4"/>
        <v>0</v>
      </c>
      <c r="R28" s="55"/>
      <c r="S28" s="6">
        <f t="shared" si="5"/>
        <v>0</v>
      </c>
    </row>
    <row r="29" spans="1:19" ht="99.95" customHeight="1" thickBot="1" x14ac:dyDescent="0.45">
      <c r="A29" s="35"/>
      <c r="B29" s="36"/>
      <c r="C29" s="55"/>
      <c r="D29" s="55"/>
      <c r="E29" s="55"/>
      <c r="F29" s="55"/>
      <c r="G29" s="60" t="str">
        <f t="shared" ref="G29:G40" si="6">IF(C29=1,IF(D29=1,IF(E29=1,IF(F29=1,"100","75"),"50"),"25"),"0")</f>
        <v>0</v>
      </c>
      <c r="H29" s="243"/>
      <c r="I29" s="244"/>
      <c r="J29" s="55"/>
      <c r="K29" s="55"/>
      <c r="L29" s="62"/>
      <c r="M29" s="63"/>
      <c r="N29" s="56"/>
      <c r="O29" s="55"/>
      <c r="P29" s="71"/>
      <c r="Q29" s="71">
        <f t="shared" si="4"/>
        <v>0</v>
      </c>
      <c r="R29" s="55"/>
      <c r="S29" s="6">
        <f t="shared" si="5"/>
        <v>0</v>
      </c>
    </row>
    <row r="30" spans="1:19" ht="99.95" customHeight="1" thickBot="1" x14ac:dyDescent="0.45">
      <c r="A30" s="64"/>
      <c r="B30" s="55"/>
      <c r="C30" s="65"/>
      <c r="D30" s="55"/>
      <c r="E30" s="65"/>
      <c r="F30" s="55"/>
      <c r="G30" s="60" t="str">
        <f t="shared" si="6"/>
        <v>0</v>
      </c>
      <c r="H30" s="65"/>
      <c r="I30" s="65"/>
      <c r="J30" s="55"/>
      <c r="K30" s="65"/>
      <c r="L30" s="55"/>
      <c r="M30" s="65"/>
      <c r="N30" s="55"/>
      <c r="O30" s="65"/>
      <c r="P30" s="71"/>
      <c r="Q30" s="71">
        <f t="shared" si="4"/>
        <v>0</v>
      </c>
      <c r="R30" s="55"/>
    </row>
    <row r="31" spans="1:19" ht="99.95" customHeight="1" thickBot="1" x14ac:dyDescent="0.45">
      <c r="A31" s="98"/>
      <c r="B31" s="99"/>
      <c r="C31" s="100"/>
      <c r="D31" s="99"/>
      <c r="E31" s="100"/>
      <c r="F31" s="99"/>
      <c r="G31" s="101" t="str">
        <f t="shared" si="6"/>
        <v>0</v>
      </c>
      <c r="H31" s="100"/>
      <c r="I31" s="100"/>
      <c r="J31" s="99"/>
      <c r="K31" s="100"/>
      <c r="L31" s="99"/>
      <c r="M31" s="100"/>
      <c r="N31" s="99"/>
      <c r="O31" s="100"/>
      <c r="P31" s="102"/>
      <c r="Q31" s="103">
        <f t="shared" si="4"/>
        <v>0</v>
      </c>
      <c r="R31" s="99"/>
    </row>
    <row r="32" spans="1:19" ht="99.95" customHeight="1" thickBot="1" x14ac:dyDescent="0.45">
      <c r="A32" s="93"/>
      <c r="B32" s="40"/>
      <c r="C32" s="94"/>
      <c r="D32" s="40"/>
      <c r="E32" s="94"/>
      <c r="F32" s="40"/>
      <c r="G32" s="101" t="str">
        <f t="shared" si="6"/>
        <v>0</v>
      </c>
      <c r="H32" s="93"/>
      <c r="I32" s="96"/>
      <c r="J32" s="94"/>
      <c r="K32" s="40"/>
      <c r="L32" s="94"/>
      <c r="M32" s="40"/>
      <c r="N32" s="94"/>
      <c r="O32" s="40"/>
      <c r="P32" s="95"/>
      <c r="Q32" s="103">
        <f t="shared" si="4"/>
        <v>0</v>
      </c>
      <c r="R32" s="96"/>
    </row>
    <row r="33" spans="1:18" ht="99.95" customHeight="1" thickBot="1" x14ac:dyDescent="0.45">
      <c r="A33" s="93"/>
      <c r="B33" s="40"/>
      <c r="C33" s="94"/>
      <c r="D33" s="40"/>
      <c r="E33" s="94"/>
      <c r="F33" s="40"/>
      <c r="G33" s="60" t="str">
        <f t="shared" si="6"/>
        <v>0</v>
      </c>
      <c r="H33" s="93"/>
      <c r="I33" s="96"/>
      <c r="J33" s="94"/>
      <c r="K33" s="40"/>
      <c r="L33" s="94"/>
      <c r="M33" s="40"/>
      <c r="N33" s="94"/>
      <c r="O33" s="40"/>
      <c r="P33" s="95"/>
      <c r="Q33" s="103">
        <f t="shared" si="4"/>
        <v>0</v>
      </c>
      <c r="R33" s="96"/>
    </row>
    <row r="34" spans="1:18" ht="99.95" customHeight="1" thickBot="1" x14ac:dyDescent="0.45">
      <c r="A34" s="84"/>
      <c r="B34" s="104"/>
      <c r="C34" s="85"/>
      <c r="D34" s="104"/>
      <c r="E34" s="85"/>
      <c r="F34" s="104"/>
      <c r="G34" s="110" t="str">
        <f t="shared" si="6"/>
        <v>0</v>
      </c>
      <c r="H34" s="84"/>
      <c r="I34" s="87"/>
      <c r="J34" s="85"/>
      <c r="K34" s="104"/>
      <c r="L34" s="85"/>
      <c r="M34" s="104"/>
      <c r="N34" s="85"/>
      <c r="O34" s="104"/>
      <c r="P34" s="86"/>
      <c r="Q34" s="103">
        <f t="shared" si="4"/>
        <v>0</v>
      </c>
      <c r="R34" s="87"/>
    </row>
    <row r="35" spans="1:18" ht="99.95" customHeight="1" thickBot="1" x14ac:dyDescent="0.45">
      <c r="A35" s="93"/>
      <c r="B35" s="40"/>
      <c r="C35" s="94"/>
      <c r="D35" s="40"/>
      <c r="E35" s="94"/>
      <c r="F35" s="40"/>
      <c r="G35" s="101" t="str">
        <f t="shared" si="6"/>
        <v>0</v>
      </c>
      <c r="H35" s="93"/>
      <c r="I35" s="96"/>
      <c r="J35" s="94"/>
      <c r="K35" s="40"/>
      <c r="L35" s="94"/>
      <c r="M35" s="40"/>
      <c r="N35" s="94"/>
      <c r="O35" s="40"/>
      <c r="P35" s="95"/>
      <c r="Q35" s="103">
        <f t="shared" si="4"/>
        <v>0</v>
      </c>
      <c r="R35" s="96"/>
    </row>
    <row r="36" spans="1:18" ht="99.95" customHeight="1" thickBot="1" x14ac:dyDescent="0.45">
      <c r="A36" s="76"/>
      <c r="B36" s="90"/>
      <c r="C36" s="77"/>
      <c r="D36" s="90"/>
      <c r="E36" s="77"/>
      <c r="F36" s="90"/>
      <c r="G36" s="101" t="str">
        <f t="shared" si="6"/>
        <v>0</v>
      </c>
      <c r="H36" s="76"/>
      <c r="I36" s="79"/>
      <c r="J36" s="77"/>
      <c r="K36" s="90"/>
      <c r="L36" s="77"/>
      <c r="M36" s="90"/>
      <c r="N36" s="77"/>
      <c r="O36" s="90"/>
      <c r="P36" s="78"/>
      <c r="Q36" s="103">
        <f t="shared" si="4"/>
        <v>0</v>
      </c>
      <c r="R36" s="79"/>
    </row>
    <row r="37" spans="1:18" ht="99.95" customHeight="1" thickBot="1" x14ac:dyDescent="0.45">
      <c r="A37" s="93"/>
      <c r="B37" s="40"/>
      <c r="C37" s="94"/>
      <c r="D37" s="40"/>
      <c r="E37" s="94"/>
      <c r="F37" s="40"/>
      <c r="G37" s="101" t="str">
        <f t="shared" si="6"/>
        <v>0</v>
      </c>
      <c r="H37" s="93"/>
      <c r="I37" s="96"/>
      <c r="J37" s="94"/>
      <c r="K37" s="40"/>
      <c r="L37" s="94"/>
      <c r="M37" s="40"/>
      <c r="N37" s="94"/>
      <c r="O37" s="40"/>
      <c r="P37" s="95"/>
      <c r="Q37" s="103">
        <f t="shared" si="4"/>
        <v>0</v>
      </c>
      <c r="R37" s="96"/>
    </row>
    <row r="38" spans="1:18" ht="99.95" customHeight="1" thickBot="1" x14ac:dyDescent="0.45">
      <c r="A38" s="93"/>
      <c r="B38" s="40"/>
      <c r="C38" s="94"/>
      <c r="D38" s="40"/>
      <c r="E38" s="94"/>
      <c r="F38" s="40"/>
      <c r="G38" s="101" t="str">
        <f t="shared" si="6"/>
        <v>0</v>
      </c>
      <c r="H38" s="93"/>
      <c r="I38" s="96"/>
      <c r="J38" s="94"/>
      <c r="K38" s="40"/>
      <c r="L38" s="94"/>
      <c r="M38" s="40"/>
      <c r="N38" s="94"/>
      <c r="O38" s="40"/>
      <c r="P38" s="95"/>
      <c r="Q38" s="103">
        <f t="shared" si="4"/>
        <v>0</v>
      </c>
      <c r="R38" s="96"/>
    </row>
    <row r="39" spans="1:18" ht="99.95" customHeight="1" thickBot="1" x14ac:dyDescent="0.45">
      <c r="A39" s="93"/>
      <c r="B39" s="40"/>
      <c r="C39" s="94"/>
      <c r="D39" s="40"/>
      <c r="E39" s="94"/>
      <c r="F39" s="40"/>
      <c r="G39" s="101" t="str">
        <f t="shared" si="6"/>
        <v>0</v>
      </c>
      <c r="H39" s="93"/>
      <c r="I39" s="96"/>
      <c r="J39" s="94"/>
      <c r="K39" s="40"/>
      <c r="L39" s="94"/>
      <c r="M39" s="40"/>
      <c r="N39" s="94"/>
      <c r="O39" s="40"/>
      <c r="P39" s="95"/>
      <c r="Q39" s="103">
        <f t="shared" si="4"/>
        <v>0</v>
      </c>
      <c r="R39" s="96"/>
    </row>
    <row r="40" spans="1:18" ht="99.95" customHeight="1" thickBot="1" x14ac:dyDescent="0.45">
      <c r="A40" s="93"/>
      <c r="B40" s="40"/>
      <c r="C40" s="94"/>
      <c r="D40" s="40"/>
      <c r="E40" s="94"/>
      <c r="F40" s="40"/>
      <c r="G40" s="60" t="str">
        <f t="shared" si="6"/>
        <v>0</v>
      </c>
      <c r="H40" s="93"/>
      <c r="I40" s="96"/>
      <c r="J40" s="94"/>
      <c r="K40" s="40"/>
      <c r="L40" s="94"/>
      <c r="M40" s="40"/>
      <c r="N40" s="94"/>
      <c r="O40" s="40"/>
      <c r="P40" s="95"/>
      <c r="Q40" s="103">
        <f t="shared" si="4"/>
        <v>0</v>
      </c>
      <c r="R40" s="96"/>
    </row>
  </sheetData>
  <mergeCells count="45">
    <mergeCell ref="H24:I24"/>
    <mergeCell ref="H25:I25"/>
    <mergeCell ref="H26:I26"/>
    <mergeCell ref="H27:I27"/>
    <mergeCell ref="H17:I17"/>
    <mergeCell ref="R10:R12"/>
    <mergeCell ref="P7:P8"/>
    <mergeCell ref="Q7:Q8"/>
    <mergeCell ref="R7:R8"/>
    <mergeCell ref="H29:I29"/>
    <mergeCell ref="H18:I18"/>
    <mergeCell ref="H19:I19"/>
    <mergeCell ref="H20:I20"/>
    <mergeCell ref="H21:I21"/>
    <mergeCell ref="H22:I22"/>
    <mergeCell ref="H23:I23"/>
    <mergeCell ref="H13:I13"/>
    <mergeCell ref="H14:I14"/>
    <mergeCell ref="H15:I15"/>
    <mergeCell ref="H16:I16"/>
    <mergeCell ref="H28:I28"/>
    <mergeCell ref="A7:G8"/>
    <mergeCell ref="H7:M8"/>
    <mergeCell ref="N7:O8"/>
    <mergeCell ref="C9:M9"/>
    <mergeCell ref="A10:A12"/>
    <mergeCell ref="B10:B12"/>
    <mergeCell ref="C10:G10"/>
    <mergeCell ref="H10:I12"/>
    <mergeCell ref="J10:J12"/>
    <mergeCell ref="G11:G12"/>
    <mergeCell ref="K10:K12"/>
    <mergeCell ref="L10:L12"/>
    <mergeCell ref="M10:M12"/>
    <mergeCell ref="N10:N12"/>
    <mergeCell ref="O10:O12"/>
    <mergeCell ref="A1:R3"/>
    <mergeCell ref="A4:B4"/>
    <mergeCell ref="C4:F4"/>
    <mergeCell ref="H4:R4"/>
    <mergeCell ref="A5:B5"/>
    <mergeCell ref="C5:F5"/>
    <mergeCell ref="H5:K5"/>
    <mergeCell ref="L5:M5"/>
    <mergeCell ref="N5:R5"/>
  </mergeCells>
  <conditionalFormatting sqref="G29:G40">
    <cfRule type="colorScale" priority="4">
      <colorScale>
        <cfvo type="min"/>
        <cfvo type="num" val="0"/>
        <cfvo type="max"/>
        <color rgb="FFF8696B"/>
        <color rgb="FFFFEB84"/>
        <color rgb="FF63BE7B"/>
      </colorScale>
    </cfRule>
  </conditionalFormatting>
  <conditionalFormatting sqref="G14:G28">
    <cfRule type="colorScale" priority="3">
      <colorScale>
        <cfvo type="min"/>
        <cfvo type="num" val="0"/>
        <cfvo type="max"/>
        <color rgb="FFF8696B"/>
        <color rgb="FFFFEB84"/>
        <color rgb="FF63BE7B"/>
      </colorScale>
    </cfRule>
  </conditionalFormatting>
  <conditionalFormatting sqref="G13">
    <cfRule type="colorScale" priority="1">
      <colorScale>
        <cfvo type="min"/>
        <cfvo type="num" val="0"/>
        <cfvo type="max"/>
        <color rgb="FFF8696B"/>
        <color rgb="FFFFEB84"/>
        <color rgb="FF63BE7B"/>
      </colorScale>
    </cfRule>
  </conditionalFormatting>
  <dataValidations disablePrompts="1" count="1">
    <dataValidation type="list" allowBlank="1" showInputMessage="1" showErrorMessage="1" sqref="O13:O29">
      <formula1>PROVEEDORES</formula1>
    </dataValidation>
  </dataValidations>
  <pageMargins left="0.70866141732283472" right="0.70866141732283472" top="0.74803149606299213" bottom="0.74803149606299213" header="0.31496062992125984" footer="0.31496062992125984"/>
  <pageSetup scale="36" orientation="landscape" r:id="rId1"/>
  <drawing r:id="rId2"/>
  <legacyDrawing r:id="rId3"/>
  <extLst>
    <ext xmlns:x14="http://schemas.microsoft.com/office/spreadsheetml/2009/9/main" uri="{78C0D931-6437-407d-A8EE-F0AAD7539E65}">
      <x14:conditionalFormattings>
        <x14:conditionalFormatting xmlns:xm="http://schemas.microsoft.com/office/excel/2006/main">
          <x14:cfRule type="iconSet" priority="5" id="{4E46DFDB-31CD-45EB-B8C7-442582D75B6F}">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C14:F29</xm:sqref>
        </x14:conditionalFormatting>
        <x14:conditionalFormatting xmlns:xm="http://schemas.microsoft.com/office/excel/2006/main">
          <x14:cfRule type="iconSet" priority="2" id="{14526859-9E83-4344-9813-3BE377670B60}">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C13:F13</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pageSetUpPr fitToPage="1"/>
  </sheetPr>
  <dimension ref="A1:S50"/>
  <sheetViews>
    <sheetView showGridLines="0" topLeftCell="C4" zoomScale="80" zoomScaleNormal="80" workbookViewId="0">
      <selection activeCell="G13" sqref="G13"/>
    </sheetView>
  </sheetViews>
  <sheetFormatPr baseColWidth="10" defaultColWidth="11.42578125" defaultRowHeight="18.75" x14ac:dyDescent="0.4"/>
  <cols>
    <col min="1" max="1" width="9.85546875" style="1" customWidth="1"/>
    <col min="2" max="2" width="22.7109375" style="1" customWidth="1"/>
    <col min="3" max="6" width="16.7109375" style="1" customWidth="1"/>
    <col min="7" max="7" width="22.140625" style="1" customWidth="1"/>
    <col min="8" max="9" width="11.42578125" style="1"/>
    <col min="10" max="10" width="24.5703125" style="1" customWidth="1"/>
    <col min="11" max="11" width="12.5703125" style="1" customWidth="1"/>
    <col min="12" max="14" width="18.7109375" style="1" customWidth="1"/>
    <col min="15" max="15" width="20.7109375" style="1" customWidth="1"/>
    <col min="16" max="17" width="20.7109375" style="66" customWidth="1"/>
    <col min="18" max="18" width="37" style="1" customWidth="1"/>
    <col min="19" max="16384" width="11.42578125" style="1"/>
  </cols>
  <sheetData>
    <row r="1" spans="1:19" ht="15" customHeight="1" x14ac:dyDescent="0.4">
      <c r="A1" s="209" t="s">
        <v>45</v>
      </c>
      <c r="B1" s="210"/>
      <c r="C1" s="210"/>
      <c r="D1" s="210"/>
      <c r="E1" s="210"/>
      <c r="F1" s="210"/>
      <c r="G1" s="210"/>
      <c r="H1" s="210"/>
      <c r="I1" s="210"/>
      <c r="J1" s="210"/>
      <c r="K1" s="210"/>
      <c r="L1" s="210"/>
      <c r="M1" s="210"/>
      <c r="N1" s="210"/>
      <c r="O1" s="210"/>
      <c r="P1" s="210"/>
      <c r="Q1" s="210"/>
      <c r="R1" s="211"/>
    </row>
    <row r="2" spans="1:19" ht="15" customHeight="1" x14ac:dyDescent="0.4">
      <c r="A2" s="212"/>
      <c r="B2" s="213"/>
      <c r="C2" s="213"/>
      <c r="D2" s="213"/>
      <c r="E2" s="213"/>
      <c r="F2" s="213"/>
      <c r="G2" s="213"/>
      <c r="H2" s="213"/>
      <c r="I2" s="213"/>
      <c r="J2" s="213"/>
      <c r="K2" s="213"/>
      <c r="L2" s="213"/>
      <c r="M2" s="213"/>
      <c r="N2" s="213"/>
      <c r="O2" s="213"/>
      <c r="P2" s="213"/>
      <c r="Q2" s="213"/>
      <c r="R2" s="214"/>
    </row>
    <row r="3" spans="1:19" ht="46.5" customHeight="1" thickBot="1" x14ac:dyDescent="0.45">
      <c r="A3" s="212"/>
      <c r="B3" s="213"/>
      <c r="C3" s="213"/>
      <c r="D3" s="213"/>
      <c r="E3" s="213"/>
      <c r="F3" s="213"/>
      <c r="G3" s="213"/>
      <c r="H3" s="213"/>
      <c r="I3" s="213"/>
      <c r="J3" s="213"/>
      <c r="K3" s="213"/>
      <c r="L3" s="213"/>
      <c r="M3" s="213"/>
      <c r="N3" s="213"/>
      <c r="O3" s="213"/>
      <c r="P3" s="213"/>
      <c r="Q3" s="213"/>
      <c r="R3" s="214"/>
    </row>
    <row r="4" spans="1:19" s="7" customFormat="1" ht="39.950000000000003" customHeight="1" thickBot="1" x14ac:dyDescent="0.65">
      <c r="A4" s="215" t="s">
        <v>22</v>
      </c>
      <c r="B4" s="216"/>
      <c r="C4" s="222">
        <f>PORTADA!B5</f>
        <v>1360</v>
      </c>
      <c r="D4" s="222"/>
      <c r="E4" s="222"/>
      <c r="F4" s="222"/>
      <c r="G4" s="2" t="s">
        <v>16</v>
      </c>
      <c r="H4" s="222" t="str">
        <f>PORTADA!E5</f>
        <v>Exoesqueleto Waist Support</v>
      </c>
      <c r="I4" s="222"/>
      <c r="J4" s="222"/>
      <c r="K4" s="222"/>
      <c r="L4" s="222"/>
      <c r="M4" s="222"/>
      <c r="N4" s="222"/>
      <c r="O4" s="222"/>
      <c r="P4" s="222"/>
      <c r="Q4" s="222"/>
      <c r="R4" s="223"/>
    </row>
    <row r="5" spans="1:19" s="7" customFormat="1" ht="39.950000000000003" customHeight="1" thickBot="1" x14ac:dyDescent="0.65">
      <c r="A5" s="217" t="s">
        <v>15</v>
      </c>
      <c r="B5" s="218"/>
      <c r="C5" s="224" t="str">
        <f>PORTADA!B7</f>
        <v>07.12.2021</v>
      </c>
      <c r="D5" s="225"/>
      <c r="E5" s="225"/>
      <c r="F5" s="226"/>
      <c r="G5" s="57" t="s">
        <v>17</v>
      </c>
      <c r="H5" s="219" t="str">
        <f>PORTADA!E7</f>
        <v>KOTEOS</v>
      </c>
      <c r="I5" s="220"/>
      <c r="J5" s="220"/>
      <c r="K5" s="221"/>
      <c r="L5" s="215" t="s">
        <v>18</v>
      </c>
      <c r="M5" s="216"/>
      <c r="N5" s="219" t="str">
        <f>PORTADA!I7</f>
        <v>M.Gutiérrez</v>
      </c>
      <c r="O5" s="220"/>
      <c r="P5" s="220"/>
      <c r="Q5" s="220"/>
      <c r="R5" s="221"/>
    </row>
    <row r="6" spans="1:19" ht="12.75" customHeight="1" thickBot="1" x14ac:dyDescent="0.45"/>
    <row r="7" spans="1:19" s="7" customFormat="1" ht="25.5" customHeight="1" x14ac:dyDescent="0.6">
      <c r="A7" s="227">
        <f>PORTADA!A17</f>
        <v>0</v>
      </c>
      <c r="B7" s="228"/>
      <c r="C7" s="228"/>
      <c r="D7" s="228"/>
      <c r="E7" s="228"/>
      <c r="F7" s="228"/>
      <c r="G7" s="229"/>
      <c r="H7" s="237" t="s">
        <v>6</v>
      </c>
      <c r="I7" s="238"/>
      <c r="J7" s="238"/>
      <c r="K7" s="238"/>
      <c r="L7" s="238"/>
      <c r="M7" s="239"/>
      <c r="N7" s="233">
        <f>AVERAGE(S13)</f>
        <v>50</v>
      </c>
      <c r="O7" s="234"/>
      <c r="P7" s="184" t="s">
        <v>20</v>
      </c>
      <c r="Q7" s="186" t="s">
        <v>46</v>
      </c>
      <c r="R7" s="207">
        <f>SUM(Q13:Q54)</f>
        <v>0</v>
      </c>
    </row>
    <row r="8" spans="1:19" s="7" customFormat="1" ht="19.5" customHeight="1" thickBot="1" x14ac:dyDescent="0.65">
      <c r="A8" s="230"/>
      <c r="B8" s="231"/>
      <c r="C8" s="231"/>
      <c r="D8" s="231"/>
      <c r="E8" s="231"/>
      <c r="F8" s="231"/>
      <c r="G8" s="232"/>
      <c r="H8" s="240"/>
      <c r="I8" s="241"/>
      <c r="J8" s="241"/>
      <c r="K8" s="241"/>
      <c r="L8" s="241"/>
      <c r="M8" s="242"/>
      <c r="N8" s="235"/>
      <c r="O8" s="236"/>
      <c r="P8" s="185"/>
      <c r="Q8" s="187"/>
      <c r="R8" s="208"/>
    </row>
    <row r="9" spans="1:19" ht="13.5" customHeight="1" thickBot="1" x14ac:dyDescent="0.45">
      <c r="A9" s="8"/>
      <c r="B9" s="9"/>
      <c r="C9" s="183"/>
      <c r="D9" s="183"/>
      <c r="E9" s="183"/>
      <c r="F9" s="183"/>
      <c r="G9" s="183"/>
      <c r="H9" s="183"/>
      <c r="I9" s="183"/>
      <c r="J9" s="183"/>
      <c r="K9" s="183"/>
      <c r="L9" s="183"/>
      <c r="M9" s="183"/>
      <c r="N9" s="10"/>
      <c r="O9" s="11"/>
      <c r="P9" s="67"/>
      <c r="Q9" s="67"/>
      <c r="R9" s="12"/>
    </row>
    <row r="10" spans="1:19" ht="18.75" customHeight="1" thickBot="1" x14ac:dyDescent="0.45">
      <c r="A10" s="190" t="s">
        <v>38</v>
      </c>
      <c r="B10" s="190" t="s">
        <v>13</v>
      </c>
      <c r="C10" s="193" t="s">
        <v>12</v>
      </c>
      <c r="D10" s="194"/>
      <c r="E10" s="194"/>
      <c r="F10" s="194"/>
      <c r="G10" s="195"/>
      <c r="H10" s="201" t="s">
        <v>0</v>
      </c>
      <c r="I10" s="202"/>
      <c r="J10" s="190" t="s">
        <v>11</v>
      </c>
      <c r="K10" s="190" t="s">
        <v>10</v>
      </c>
      <c r="L10" s="190" t="s">
        <v>24</v>
      </c>
      <c r="M10" s="202" t="s">
        <v>25</v>
      </c>
      <c r="N10" s="190" t="s">
        <v>26</v>
      </c>
      <c r="O10" s="190" t="s">
        <v>8</v>
      </c>
      <c r="P10" s="68"/>
      <c r="Q10" s="68"/>
      <c r="R10" s="190" t="s">
        <v>9</v>
      </c>
    </row>
    <row r="11" spans="1:19" ht="19.5" thickBot="1" x14ac:dyDescent="0.45">
      <c r="A11" s="191"/>
      <c r="B11" s="191"/>
      <c r="C11" s="4" t="s">
        <v>39</v>
      </c>
      <c r="D11" s="4" t="s">
        <v>40</v>
      </c>
      <c r="E11" s="4" t="s">
        <v>41</v>
      </c>
      <c r="F11" s="4" t="s">
        <v>42</v>
      </c>
      <c r="G11" s="196" t="s">
        <v>5</v>
      </c>
      <c r="H11" s="203"/>
      <c r="I11" s="204"/>
      <c r="J11" s="191"/>
      <c r="K11" s="191"/>
      <c r="L11" s="191"/>
      <c r="M11" s="204"/>
      <c r="N11" s="191"/>
      <c r="O11" s="191"/>
      <c r="P11" s="69" t="s">
        <v>32</v>
      </c>
      <c r="Q11" s="69" t="s">
        <v>33</v>
      </c>
      <c r="R11" s="191"/>
    </row>
    <row r="12" spans="1:19" ht="16.5" customHeight="1" thickBot="1" x14ac:dyDescent="0.45">
      <c r="A12" s="192"/>
      <c r="B12" s="192"/>
      <c r="C12" s="5">
        <v>0.25</v>
      </c>
      <c r="D12" s="5">
        <v>0.5</v>
      </c>
      <c r="E12" s="5">
        <v>0.75</v>
      </c>
      <c r="F12" s="5">
        <v>1</v>
      </c>
      <c r="G12" s="197"/>
      <c r="H12" s="205"/>
      <c r="I12" s="206"/>
      <c r="J12" s="192"/>
      <c r="K12" s="192"/>
      <c r="L12" s="192"/>
      <c r="M12" s="206"/>
      <c r="N12" s="192"/>
      <c r="O12" s="192"/>
      <c r="P12" s="70"/>
      <c r="Q12" s="70"/>
      <c r="R12" s="192"/>
    </row>
    <row r="13" spans="1:19" ht="99.95" customHeight="1" thickBot="1" x14ac:dyDescent="0.45">
      <c r="A13" s="35">
        <v>1</v>
      </c>
      <c r="B13" s="36" t="s">
        <v>62</v>
      </c>
      <c r="C13" s="59">
        <v>1</v>
      </c>
      <c r="D13" s="59">
        <v>1</v>
      </c>
      <c r="E13" s="59">
        <v>0</v>
      </c>
      <c r="F13" s="59">
        <v>0</v>
      </c>
      <c r="G13" s="60" t="str">
        <f>IF(C13=1,IF(D13=1,IF(E13=1,IF(F13=1,"100","75"),"50"),"25"),"0")</f>
        <v>50</v>
      </c>
      <c r="H13" s="247"/>
      <c r="I13" s="248"/>
      <c r="J13" s="55"/>
      <c r="K13" s="59"/>
      <c r="L13" s="61"/>
      <c r="M13" s="61"/>
      <c r="N13" s="62"/>
      <c r="O13" s="55"/>
      <c r="P13" s="71"/>
      <c r="Q13" s="71">
        <f>P13*K13</f>
        <v>0</v>
      </c>
      <c r="R13" s="55"/>
      <c r="S13" s="6">
        <f>VALUE(G13)</f>
        <v>50</v>
      </c>
    </row>
    <row r="14" spans="1:19" ht="99.95" customHeight="1" thickBot="1" x14ac:dyDescent="0.45">
      <c r="A14" s="35"/>
      <c r="B14" s="36"/>
      <c r="C14" s="59"/>
      <c r="D14" s="59"/>
      <c r="E14" s="59"/>
      <c r="F14" s="59"/>
      <c r="G14" s="60" t="str">
        <f t="shared" ref="G14:G41" si="0">IF(C14=1,IF(D14=1,IF(E14=1,IF(F14=1,"100","75"),"50"),"25"),"0")</f>
        <v>0</v>
      </c>
      <c r="H14" s="247"/>
      <c r="I14" s="248"/>
      <c r="J14" s="55"/>
      <c r="K14" s="59"/>
      <c r="L14" s="61"/>
      <c r="M14" s="61"/>
      <c r="N14" s="62"/>
      <c r="O14" s="55"/>
      <c r="P14" s="71"/>
      <c r="Q14" s="71">
        <f t="shared" ref="Q14:Q41" si="1">P14*K14</f>
        <v>0</v>
      </c>
      <c r="R14" s="55"/>
      <c r="S14" s="6">
        <f t="shared" ref="S14:S29" si="2">VALUE(G14)</f>
        <v>0</v>
      </c>
    </row>
    <row r="15" spans="1:19" ht="99.95" customHeight="1" thickBot="1" x14ac:dyDescent="0.45">
      <c r="A15" s="35"/>
      <c r="B15" s="36"/>
      <c r="C15" s="59"/>
      <c r="D15" s="59"/>
      <c r="E15" s="59"/>
      <c r="F15" s="59"/>
      <c r="G15" s="60" t="str">
        <f t="shared" si="0"/>
        <v>0</v>
      </c>
      <c r="H15" s="247"/>
      <c r="I15" s="248"/>
      <c r="J15" s="55"/>
      <c r="K15" s="59"/>
      <c r="L15" s="61"/>
      <c r="M15" s="61"/>
      <c r="N15" s="62"/>
      <c r="O15" s="55"/>
      <c r="P15" s="71"/>
      <c r="Q15" s="71">
        <f t="shared" si="1"/>
        <v>0</v>
      </c>
      <c r="R15" s="55"/>
      <c r="S15" s="6">
        <f t="shared" si="2"/>
        <v>0</v>
      </c>
    </row>
    <row r="16" spans="1:19" ht="99.95" customHeight="1" thickBot="1" x14ac:dyDescent="0.45">
      <c r="A16" s="35"/>
      <c r="B16" s="36"/>
      <c r="C16" s="59"/>
      <c r="D16" s="59"/>
      <c r="E16" s="59"/>
      <c r="F16" s="59"/>
      <c r="G16" s="60" t="str">
        <f>IF(C16=1,IF(D16=1,IF(E16=1,IF(F16=1,"100","75"),"50"),"25"),"0")</f>
        <v>0</v>
      </c>
      <c r="H16" s="247"/>
      <c r="I16" s="248"/>
      <c r="J16" s="55"/>
      <c r="K16" s="59"/>
      <c r="L16" s="61"/>
      <c r="M16" s="61"/>
      <c r="N16" s="56"/>
      <c r="O16" s="55"/>
      <c r="P16" s="71"/>
      <c r="Q16" s="71">
        <f t="shared" si="1"/>
        <v>0</v>
      </c>
      <c r="R16" s="55"/>
      <c r="S16" s="6">
        <f t="shared" si="2"/>
        <v>0</v>
      </c>
    </row>
    <row r="17" spans="1:19" ht="99.95" customHeight="1" thickBot="1" x14ac:dyDescent="0.45">
      <c r="A17" s="35"/>
      <c r="B17" s="36"/>
      <c r="C17" s="59"/>
      <c r="D17" s="59"/>
      <c r="E17" s="59"/>
      <c r="F17" s="59"/>
      <c r="G17" s="60" t="str">
        <f t="shared" si="0"/>
        <v>0</v>
      </c>
      <c r="H17" s="247"/>
      <c r="I17" s="248"/>
      <c r="J17" s="55"/>
      <c r="K17" s="59"/>
      <c r="L17" s="61"/>
      <c r="M17" s="61"/>
      <c r="N17" s="56"/>
      <c r="O17" s="55"/>
      <c r="P17" s="71"/>
      <c r="Q17" s="71">
        <f t="shared" si="1"/>
        <v>0</v>
      </c>
      <c r="R17" s="55"/>
      <c r="S17" s="6">
        <f t="shared" si="2"/>
        <v>0</v>
      </c>
    </row>
    <row r="18" spans="1:19" ht="99.95" customHeight="1" thickBot="1" x14ac:dyDescent="0.45">
      <c r="A18" s="35"/>
      <c r="B18" s="36"/>
      <c r="C18" s="59"/>
      <c r="D18" s="59"/>
      <c r="E18" s="59"/>
      <c r="F18" s="59"/>
      <c r="G18" s="60" t="str">
        <f t="shared" si="0"/>
        <v>0</v>
      </c>
      <c r="H18" s="247"/>
      <c r="I18" s="248"/>
      <c r="J18" s="55"/>
      <c r="K18" s="59"/>
      <c r="L18" s="61"/>
      <c r="M18" s="61"/>
      <c r="N18" s="56"/>
      <c r="O18" s="55"/>
      <c r="P18" s="71"/>
      <c r="Q18" s="71">
        <f t="shared" si="1"/>
        <v>0</v>
      </c>
      <c r="R18" s="55"/>
      <c r="S18" s="6">
        <f t="shared" si="2"/>
        <v>0</v>
      </c>
    </row>
    <row r="19" spans="1:19" ht="99.95" customHeight="1" thickBot="1" x14ac:dyDescent="0.45">
      <c r="A19" s="35"/>
      <c r="B19" s="36"/>
      <c r="C19" s="59"/>
      <c r="D19" s="59"/>
      <c r="E19" s="59"/>
      <c r="F19" s="59"/>
      <c r="G19" s="60" t="str">
        <f t="shared" si="0"/>
        <v>0</v>
      </c>
      <c r="H19" s="247"/>
      <c r="I19" s="248"/>
      <c r="J19" s="55"/>
      <c r="K19" s="59"/>
      <c r="L19" s="61"/>
      <c r="M19" s="61"/>
      <c r="N19" s="56"/>
      <c r="O19" s="55"/>
      <c r="P19" s="71"/>
      <c r="Q19" s="71">
        <f t="shared" si="1"/>
        <v>0</v>
      </c>
      <c r="R19" s="55"/>
      <c r="S19" s="6">
        <f t="shared" si="2"/>
        <v>0</v>
      </c>
    </row>
    <row r="20" spans="1:19" ht="99.95" customHeight="1" thickBot="1" x14ac:dyDescent="0.45">
      <c r="A20" s="35"/>
      <c r="B20" s="36"/>
      <c r="C20" s="59"/>
      <c r="D20" s="59"/>
      <c r="E20" s="59"/>
      <c r="F20" s="59"/>
      <c r="G20" s="60" t="str">
        <f t="shared" si="0"/>
        <v>0</v>
      </c>
      <c r="H20" s="247"/>
      <c r="I20" s="248"/>
      <c r="J20" s="55"/>
      <c r="K20" s="59"/>
      <c r="L20" s="61"/>
      <c r="M20" s="61"/>
      <c r="N20" s="56"/>
      <c r="O20" s="55"/>
      <c r="P20" s="71"/>
      <c r="Q20" s="71">
        <f t="shared" si="1"/>
        <v>0</v>
      </c>
      <c r="R20" s="55"/>
      <c r="S20" s="6">
        <f t="shared" si="2"/>
        <v>0</v>
      </c>
    </row>
    <row r="21" spans="1:19" ht="99.95" customHeight="1" thickBot="1" x14ac:dyDescent="0.45">
      <c r="A21" s="35"/>
      <c r="B21" s="36"/>
      <c r="C21" s="59"/>
      <c r="D21" s="59"/>
      <c r="E21" s="59"/>
      <c r="F21" s="59"/>
      <c r="G21" s="60" t="str">
        <f t="shared" si="0"/>
        <v>0</v>
      </c>
      <c r="H21" s="247"/>
      <c r="I21" s="248"/>
      <c r="J21" s="55"/>
      <c r="K21" s="59"/>
      <c r="L21" s="61"/>
      <c r="M21" s="61"/>
      <c r="N21" s="56"/>
      <c r="O21" s="55"/>
      <c r="P21" s="71"/>
      <c r="Q21" s="71">
        <f t="shared" si="1"/>
        <v>0</v>
      </c>
      <c r="R21" s="55"/>
      <c r="S21" s="6">
        <f t="shared" si="2"/>
        <v>0</v>
      </c>
    </row>
    <row r="22" spans="1:19" ht="99.95" customHeight="1" thickBot="1" x14ac:dyDescent="0.45">
      <c r="A22" s="35"/>
      <c r="B22" s="36"/>
      <c r="C22" s="59"/>
      <c r="D22" s="59"/>
      <c r="E22" s="59"/>
      <c r="F22" s="59"/>
      <c r="G22" s="60" t="str">
        <f t="shared" si="0"/>
        <v>0</v>
      </c>
      <c r="H22" s="247"/>
      <c r="I22" s="248"/>
      <c r="J22" s="55"/>
      <c r="K22" s="59"/>
      <c r="L22" s="61"/>
      <c r="M22" s="61"/>
      <c r="N22" s="56"/>
      <c r="O22" s="55"/>
      <c r="P22" s="71"/>
      <c r="Q22" s="71">
        <f t="shared" si="1"/>
        <v>0</v>
      </c>
      <c r="R22" s="55"/>
      <c r="S22" s="6">
        <f t="shared" si="2"/>
        <v>0</v>
      </c>
    </row>
    <row r="23" spans="1:19" ht="99.95" customHeight="1" thickBot="1" x14ac:dyDescent="0.45">
      <c r="A23" s="35"/>
      <c r="B23" s="36"/>
      <c r="C23" s="59"/>
      <c r="D23" s="59"/>
      <c r="E23" s="59"/>
      <c r="F23" s="59"/>
      <c r="G23" s="60" t="str">
        <f t="shared" si="0"/>
        <v>0</v>
      </c>
      <c r="H23" s="247"/>
      <c r="I23" s="248"/>
      <c r="J23" s="55"/>
      <c r="K23" s="59"/>
      <c r="L23" s="61"/>
      <c r="M23" s="61"/>
      <c r="N23" s="56"/>
      <c r="O23" s="55"/>
      <c r="P23" s="71"/>
      <c r="Q23" s="71">
        <f t="shared" si="1"/>
        <v>0</v>
      </c>
      <c r="R23" s="55"/>
      <c r="S23" s="6">
        <f t="shared" si="2"/>
        <v>0</v>
      </c>
    </row>
    <row r="24" spans="1:19" ht="99.95" customHeight="1" thickBot="1" x14ac:dyDescent="0.45">
      <c r="A24" s="35"/>
      <c r="B24" s="36"/>
      <c r="C24" s="59"/>
      <c r="D24" s="59"/>
      <c r="E24" s="59"/>
      <c r="F24" s="59"/>
      <c r="G24" s="60" t="str">
        <f t="shared" si="0"/>
        <v>0</v>
      </c>
      <c r="H24" s="247"/>
      <c r="I24" s="248"/>
      <c r="J24" s="55"/>
      <c r="K24" s="59"/>
      <c r="L24" s="61"/>
      <c r="M24" s="61"/>
      <c r="N24" s="56"/>
      <c r="O24" s="55"/>
      <c r="P24" s="71"/>
      <c r="Q24" s="71">
        <f t="shared" si="1"/>
        <v>0</v>
      </c>
      <c r="R24" s="55"/>
      <c r="S24" s="6">
        <f t="shared" si="2"/>
        <v>0</v>
      </c>
    </row>
    <row r="25" spans="1:19" ht="99.95" customHeight="1" thickBot="1" x14ac:dyDescent="0.45">
      <c r="A25" s="35"/>
      <c r="B25" s="36"/>
      <c r="C25" s="59"/>
      <c r="D25" s="59"/>
      <c r="E25" s="59"/>
      <c r="F25" s="59"/>
      <c r="G25" s="60" t="str">
        <f t="shared" si="0"/>
        <v>0</v>
      </c>
      <c r="H25" s="247"/>
      <c r="I25" s="248"/>
      <c r="J25" s="55"/>
      <c r="K25" s="59"/>
      <c r="L25" s="61"/>
      <c r="M25" s="61"/>
      <c r="N25" s="56"/>
      <c r="O25" s="55"/>
      <c r="P25" s="71"/>
      <c r="Q25" s="71">
        <f t="shared" si="1"/>
        <v>0</v>
      </c>
      <c r="R25" s="55"/>
      <c r="S25" s="6">
        <f t="shared" si="2"/>
        <v>0</v>
      </c>
    </row>
    <row r="26" spans="1:19" ht="99.95" customHeight="1" thickBot="1" x14ac:dyDescent="0.45">
      <c r="A26" s="35"/>
      <c r="B26" s="36"/>
      <c r="C26" s="59"/>
      <c r="D26" s="59"/>
      <c r="E26" s="59"/>
      <c r="F26" s="59"/>
      <c r="G26" s="60" t="str">
        <f t="shared" si="0"/>
        <v>0</v>
      </c>
      <c r="H26" s="247"/>
      <c r="I26" s="248"/>
      <c r="J26" s="55"/>
      <c r="K26" s="59"/>
      <c r="L26" s="61"/>
      <c r="M26" s="61"/>
      <c r="N26" s="56"/>
      <c r="O26" s="55"/>
      <c r="P26" s="71"/>
      <c r="Q26" s="71">
        <f t="shared" si="1"/>
        <v>0</v>
      </c>
      <c r="R26" s="55"/>
      <c r="S26" s="6">
        <f t="shared" si="2"/>
        <v>0</v>
      </c>
    </row>
    <row r="27" spans="1:19" ht="99.95" customHeight="1" thickBot="1" x14ac:dyDescent="0.45">
      <c r="A27" s="35"/>
      <c r="B27" s="36"/>
      <c r="C27" s="59"/>
      <c r="D27" s="59"/>
      <c r="E27" s="59"/>
      <c r="F27" s="59"/>
      <c r="G27" s="60" t="str">
        <f t="shared" si="0"/>
        <v>0</v>
      </c>
      <c r="H27" s="247"/>
      <c r="I27" s="248"/>
      <c r="J27" s="55"/>
      <c r="K27" s="59"/>
      <c r="L27" s="61"/>
      <c r="M27" s="61"/>
      <c r="N27" s="56"/>
      <c r="O27" s="55"/>
      <c r="P27" s="71"/>
      <c r="Q27" s="71">
        <f t="shared" si="1"/>
        <v>0</v>
      </c>
      <c r="R27" s="55"/>
      <c r="S27" s="6">
        <f t="shared" si="2"/>
        <v>0</v>
      </c>
    </row>
    <row r="28" spans="1:19" ht="99.95" customHeight="1" thickBot="1" x14ac:dyDescent="0.45">
      <c r="A28" s="35"/>
      <c r="B28" s="36"/>
      <c r="C28" s="59"/>
      <c r="D28" s="59"/>
      <c r="E28" s="59"/>
      <c r="F28" s="59"/>
      <c r="G28" s="60" t="str">
        <f t="shared" si="0"/>
        <v>0</v>
      </c>
      <c r="H28" s="247"/>
      <c r="I28" s="248"/>
      <c r="J28" s="55"/>
      <c r="K28" s="59"/>
      <c r="L28" s="61"/>
      <c r="M28" s="61"/>
      <c r="N28" s="56"/>
      <c r="O28" s="55"/>
      <c r="P28" s="71"/>
      <c r="Q28" s="71">
        <f t="shared" si="1"/>
        <v>0</v>
      </c>
      <c r="R28" s="55"/>
      <c r="S28" s="6">
        <f t="shared" si="2"/>
        <v>0</v>
      </c>
    </row>
    <row r="29" spans="1:19" ht="99.95" customHeight="1" thickBot="1" x14ac:dyDescent="0.45">
      <c r="A29" s="88"/>
      <c r="B29" s="89"/>
      <c r="C29" s="107"/>
      <c r="D29" s="107"/>
      <c r="E29" s="107"/>
      <c r="F29" s="107"/>
      <c r="G29" s="101" t="str">
        <f t="shared" si="0"/>
        <v>0</v>
      </c>
      <c r="H29" s="245"/>
      <c r="I29" s="246"/>
      <c r="J29" s="91"/>
      <c r="K29" s="107"/>
      <c r="L29" s="108"/>
      <c r="M29" s="109"/>
      <c r="N29" s="92"/>
      <c r="O29" s="107"/>
      <c r="P29" s="103"/>
      <c r="Q29" s="103">
        <f t="shared" si="1"/>
        <v>0</v>
      </c>
      <c r="R29" s="107"/>
      <c r="S29" s="6">
        <f t="shared" si="2"/>
        <v>0</v>
      </c>
    </row>
    <row r="30" spans="1:19" s="105" customFormat="1" ht="99.95" customHeight="1" thickBot="1" x14ac:dyDescent="0.3">
      <c r="A30" s="93"/>
      <c r="B30" s="55"/>
      <c r="C30" s="94"/>
      <c r="D30" s="40"/>
      <c r="E30" s="94"/>
      <c r="F30" s="40"/>
      <c r="G30" s="101" t="str">
        <f t="shared" si="0"/>
        <v>0</v>
      </c>
      <c r="H30" s="93"/>
      <c r="I30" s="96"/>
      <c r="J30" s="94"/>
      <c r="K30" s="40"/>
      <c r="L30" s="94"/>
      <c r="M30" s="40"/>
      <c r="N30" s="94"/>
      <c r="O30" s="40"/>
      <c r="P30" s="95"/>
      <c r="Q30" s="103">
        <f t="shared" si="1"/>
        <v>0</v>
      </c>
      <c r="R30" s="96"/>
    </row>
    <row r="31" spans="1:19" s="105" customFormat="1" ht="99.95" customHeight="1" thickBot="1" x14ac:dyDescent="0.3">
      <c r="A31" s="80"/>
      <c r="B31" s="99"/>
      <c r="C31" s="81"/>
      <c r="D31" s="97"/>
      <c r="E31" s="81"/>
      <c r="F31" s="97"/>
      <c r="G31" s="101" t="str">
        <f t="shared" si="0"/>
        <v>0</v>
      </c>
      <c r="H31" s="80"/>
      <c r="I31" s="83"/>
      <c r="J31" s="81"/>
      <c r="K31" s="97"/>
      <c r="L31" s="81"/>
      <c r="M31" s="97"/>
      <c r="N31" s="81"/>
      <c r="O31" s="97"/>
      <c r="P31" s="82"/>
      <c r="Q31" s="103">
        <f t="shared" si="1"/>
        <v>0</v>
      </c>
      <c r="R31" s="83"/>
    </row>
    <row r="32" spans="1:19" s="105" customFormat="1" ht="99.95" customHeight="1" thickBot="1" x14ac:dyDescent="0.3">
      <c r="A32" s="93"/>
      <c r="B32" s="40"/>
      <c r="C32" s="94"/>
      <c r="D32" s="40"/>
      <c r="E32" s="94"/>
      <c r="F32" s="40"/>
      <c r="G32" s="101" t="str">
        <f t="shared" si="0"/>
        <v>0</v>
      </c>
      <c r="H32" s="93"/>
      <c r="I32" s="96"/>
      <c r="J32" s="94"/>
      <c r="K32" s="40"/>
      <c r="L32" s="94"/>
      <c r="M32" s="40"/>
      <c r="N32" s="94"/>
      <c r="O32" s="40"/>
      <c r="P32" s="95"/>
      <c r="Q32" s="103">
        <f t="shared" si="1"/>
        <v>0</v>
      </c>
      <c r="R32" s="96"/>
    </row>
    <row r="33" spans="1:18" s="105" customFormat="1" ht="99.95" customHeight="1" thickBot="1" x14ac:dyDescent="0.3">
      <c r="A33" s="80"/>
      <c r="B33" s="97"/>
      <c r="C33" s="81"/>
      <c r="D33" s="97"/>
      <c r="E33" s="81"/>
      <c r="F33" s="97"/>
      <c r="G33" s="101" t="str">
        <f t="shared" si="0"/>
        <v>0</v>
      </c>
      <c r="H33" s="80"/>
      <c r="I33" s="83"/>
      <c r="J33" s="81"/>
      <c r="K33" s="97"/>
      <c r="L33" s="81"/>
      <c r="M33" s="97"/>
      <c r="N33" s="81"/>
      <c r="O33" s="97"/>
      <c r="P33" s="82"/>
      <c r="Q33" s="103">
        <f t="shared" si="1"/>
        <v>0</v>
      </c>
      <c r="R33" s="83"/>
    </row>
    <row r="34" spans="1:18" s="105" customFormat="1" ht="99.95" customHeight="1" thickBot="1" x14ac:dyDescent="0.3">
      <c r="A34" s="93"/>
      <c r="B34" s="40"/>
      <c r="C34" s="94"/>
      <c r="D34" s="40"/>
      <c r="E34" s="94"/>
      <c r="F34" s="40"/>
      <c r="G34" s="101" t="str">
        <f t="shared" si="0"/>
        <v>0</v>
      </c>
      <c r="H34" s="93"/>
      <c r="I34" s="96"/>
      <c r="J34" s="94"/>
      <c r="K34" s="40"/>
      <c r="L34" s="94"/>
      <c r="M34" s="40"/>
      <c r="N34" s="94"/>
      <c r="O34" s="40"/>
      <c r="P34" s="95"/>
      <c r="Q34" s="103">
        <f t="shared" si="1"/>
        <v>0</v>
      </c>
      <c r="R34" s="96"/>
    </row>
    <row r="35" spans="1:18" s="105" customFormat="1" ht="99.95" customHeight="1" thickBot="1" x14ac:dyDescent="0.3">
      <c r="A35" s="80"/>
      <c r="B35" s="97"/>
      <c r="C35" s="81"/>
      <c r="D35" s="97"/>
      <c r="E35" s="81"/>
      <c r="F35" s="97"/>
      <c r="G35" s="101" t="str">
        <f t="shared" si="0"/>
        <v>0</v>
      </c>
      <c r="H35" s="80"/>
      <c r="I35" s="83"/>
      <c r="J35" s="81"/>
      <c r="K35" s="97"/>
      <c r="L35" s="81"/>
      <c r="M35" s="97"/>
      <c r="N35" s="81"/>
      <c r="O35" s="97"/>
      <c r="P35" s="82"/>
      <c r="Q35" s="103">
        <f t="shared" si="1"/>
        <v>0</v>
      </c>
      <c r="R35" s="83"/>
    </row>
    <row r="36" spans="1:18" s="105" customFormat="1" ht="99.95" customHeight="1" thickBot="1" x14ac:dyDescent="0.3">
      <c r="A36" s="93"/>
      <c r="B36" s="40"/>
      <c r="C36" s="94"/>
      <c r="D36" s="40"/>
      <c r="E36" s="94"/>
      <c r="F36" s="40"/>
      <c r="G36" s="101" t="str">
        <f t="shared" si="0"/>
        <v>0</v>
      </c>
      <c r="H36" s="93"/>
      <c r="I36" s="96"/>
      <c r="J36" s="94"/>
      <c r="K36" s="40"/>
      <c r="L36" s="94"/>
      <c r="M36" s="40"/>
      <c r="N36" s="94"/>
      <c r="O36" s="40"/>
      <c r="P36" s="95"/>
      <c r="Q36" s="103">
        <f t="shared" si="1"/>
        <v>0</v>
      </c>
      <c r="R36" s="96"/>
    </row>
    <row r="37" spans="1:18" s="105" customFormat="1" ht="99.95" customHeight="1" thickBot="1" x14ac:dyDescent="0.3">
      <c r="A37" s="80"/>
      <c r="B37" s="97"/>
      <c r="C37" s="81"/>
      <c r="D37" s="97"/>
      <c r="E37" s="81"/>
      <c r="F37" s="97"/>
      <c r="G37" s="101" t="str">
        <f t="shared" si="0"/>
        <v>0</v>
      </c>
      <c r="H37" s="80"/>
      <c r="I37" s="83"/>
      <c r="J37" s="81"/>
      <c r="K37" s="97"/>
      <c r="L37" s="81"/>
      <c r="M37" s="97"/>
      <c r="N37" s="81"/>
      <c r="O37" s="97"/>
      <c r="P37" s="82"/>
      <c r="Q37" s="103">
        <f t="shared" si="1"/>
        <v>0</v>
      </c>
      <c r="R37" s="83"/>
    </row>
    <row r="38" spans="1:18" s="105" customFormat="1" ht="99.95" customHeight="1" thickBot="1" x14ac:dyDescent="0.3">
      <c r="A38" s="93"/>
      <c r="B38" s="40"/>
      <c r="C38" s="94"/>
      <c r="D38" s="40"/>
      <c r="E38" s="94"/>
      <c r="F38" s="40"/>
      <c r="G38" s="101" t="str">
        <f t="shared" si="0"/>
        <v>0</v>
      </c>
      <c r="H38" s="93"/>
      <c r="I38" s="96"/>
      <c r="J38" s="94"/>
      <c r="K38" s="40"/>
      <c r="L38" s="94"/>
      <c r="M38" s="40"/>
      <c r="N38" s="94"/>
      <c r="O38" s="40"/>
      <c r="P38" s="95"/>
      <c r="Q38" s="103">
        <f t="shared" si="1"/>
        <v>0</v>
      </c>
      <c r="R38" s="96"/>
    </row>
    <row r="39" spans="1:18" s="105" customFormat="1" ht="99.95" customHeight="1" thickBot="1" x14ac:dyDescent="0.3">
      <c r="A39" s="80"/>
      <c r="B39" s="97"/>
      <c r="C39" s="81"/>
      <c r="D39" s="97"/>
      <c r="E39" s="81"/>
      <c r="F39" s="97"/>
      <c r="G39" s="101" t="str">
        <f t="shared" si="0"/>
        <v>0</v>
      </c>
      <c r="H39" s="80"/>
      <c r="I39" s="83"/>
      <c r="J39" s="81"/>
      <c r="K39" s="97"/>
      <c r="L39" s="81"/>
      <c r="M39" s="97"/>
      <c r="N39" s="81"/>
      <c r="O39" s="97"/>
      <c r="P39" s="82"/>
      <c r="Q39" s="103">
        <f t="shared" si="1"/>
        <v>0</v>
      </c>
      <c r="R39" s="83"/>
    </row>
    <row r="40" spans="1:18" s="105" customFormat="1" ht="99.95" customHeight="1" thickBot="1" x14ac:dyDescent="0.3">
      <c r="A40" s="93"/>
      <c r="B40" s="55"/>
      <c r="C40" s="94"/>
      <c r="D40" s="40"/>
      <c r="E40" s="94"/>
      <c r="F40" s="40"/>
      <c r="G40" s="101" t="str">
        <f t="shared" si="0"/>
        <v>0</v>
      </c>
      <c r="H40" s="93"/>
      <c r="I40" s="96"/>
      <c r="J40" s="94"/>
      <c r="K40" s="40"/>
      <c r="L40" s="94"/>
      <c r="M40" s="40"/>
      <c r="N40" s="94"/>
      <c r="O40" s="40"/>
      <c r="P40" s="95"/>
      <c r="Q40" s="103">
        <f t="shared" si="1"/>
        <v>0</v>
      </c>
      <c r="R40" s="96"/>
    </row>
    <row r="41" spans="1:18" s="105" customFormat="1" ht="99.95" customHeight="1" thickBot="1" x14ac:dyDescent="0.3">
      <c r="A41" s="84"/>
      <c r="B41" s="104"/>
      <c r="C41" s="85"/>
      <c r="D41" s="104"/>
      <c r="E41" s="85"/>
      <c r="F41" s="104"/>
      <c r="G41" s="60" t="str">
        <f t="shared" si="0"/>
        <v>0</v>
      </c>
      <c r="H41" s="40"/>
      <c r="I41" s="87"/>
      <c r="J41" s="85"/>
      <c r="K41" s="104"/>
      <c r="L41" s="85"/>
      <c r="M41" s="104"/>
      <c r="N41" s="85"/>
      <c r="O41" s="104"/>
      <c r="P41" s="86"/>
      <c r="Q41" s="71">
        <f t="shared" si="1"/>
        <v>0</v>
      </c>
      <c r="R41" s="87"/>
    </row>
    <row r="42" spans="1:18" s="105" customFormat="1" ht="99.95" customHeight="1" x14ac:dyDescent="0.25">
      <c r="P42" s="106"/>
      <c r="Q42" s="106"/>
    </row>
    <row r="43" spans="1:18" s="105" customFormat="1" ht="99.95" customHeight="1" x14ac:dyDescent="0.25">
      <c r="P43" s="106"/>
      <c r="Q43" s="106"/>
    </row>
    <row r="44" spans="1:18" s="105" customFormat="1" ht="99.95" customHeight="1" x14ac:dyDescent="0.25">
      <c r="P44" s="106"/>
      <c r="Q44" s="106"/>
    </row>
    <row r="45" spans="1:18" s="105" customFormat="1" ht="99.95" customHeight="1" x14ac:dyDescent="0.25">
      <c r="P45" s="106"/>
      <c r="Q45" s="106"/>
    </row>
    <row r="46" spans="1:18" s="105" customFormat="1" ht="99.95" customHeight="1" x14ac:dyDescent="0.25">
      <c r="P46" s="106"/>
      <c r="Q46" s="106"/>
    </row>
    <row r="47" spans="1:18" s="105" customFormat="1" ht="99.95" customHeight="1" x14ac:dyDescent="0.25">
      <c r="P47" s="106"/>
      <c r="Q47" s="106"/>
    </row>
    <row r="48" spans="1:18" s="105" customFormat="1" ht="99.95" customHeight="1" x14ac:dyDescent="0.25">
      <c r="P48" s="106"/>
      <c r="Q48" s="106"/>
    </row>
    <row r="49" spans="16:17" s="105" customFormat="1" ht="99.95" customHeight="1" x14ac:dyDescent="0.25">
      <c r="P49" s="106"/>
      <c r="Q49" s="106"/>
    </row>
    <row r="50" spans="16:17" s="105" customFormat="1" ht="99.95" customHeight="1" x14ac:dyDescent="0.25">
      <c r="P50" s="106"/>
      <c r="Q50" s="106"/>
    </row>
  </sheetData>
  <mergeCells count="45">
    <mergeCell ref="H24:I24"/>
    <mergeCell ref="H25:I25"/>
    <mergeCell ref="H26:I26"/>
    <mergeCell ref="H27:I27"/>
    <mergeCell ref="H17:I17"/>
    <mergeCell ref="R10:R12"/>
    <mergeCell ref="P7:P8"/>
    <mergeCell ref="Q7:Q8"/>
    <mergeCell ref="R7:R8"/>
    <mergeCell ref="H29:I29"/>
    <mergeCell ref="H18:I18"/>
    <mergeCell ref="H19:I19"/>
    <mergeCell ref="H20:I20"/>
    <mergeCell ref="H21:I21"/>
    <mergeCell ref="H22:I22"/>
    <mergeCell ref="H23:I23"/>
    <mergeCell ref="H13:I13"/>
    <mergeCell ref="H14:I14"/>
    <mergeCell ref="H15:I15"/>
    <mergeCell ref="H16:I16"/>
    <mergeCell ref="H28:I28"/>
    <mergeCell ref="A7:G8"/>
    <mergeCell ref="H7:M8"/>
    <mergeCell ref="N7:O8"/>
    <mergeCell ref="C9:M9"/>
    <mergeCell ref="A10:A12"/>
    <mergeCell ref="B10:B12"/>
    <mergeCell ref="C10:G10"/>
    <mergeCell ref="H10:I12"/>
    <mergeCell ref="J10:J12"/>
    <mergeCell ref="G11:G12"/>
    <mergeCell ref="K10:K12"/>
    <mergeCell ref="L10:L12"/>
    <mergeCell ref="M10:M12"/>
    <mergeCell ref="N10:N12"/>
    <mergeCell ref="O10:O12"/>
    <mergeCell ref="A1:R3"/>
    <mergeCell ref="A4:B4"/>
    <mergeCell ref="C4:F4"/>
    <mergeCell ref="H4:R4"/>
    <mergeCell ref="A5:B5"/>
    <mergeCell ref="C5:F5"/>
    <mergeCell ref="H5:K5"/>
    <mergeCell ref="L5:M5"/>
    <mergeCell ref="N5:R5"/>
  </mergeCells>
  <conditionalFormatting sqref="G13:G41">
    <cfRule type="colorScale" priority="1">
      <colorScale>
        <cfvo type="min"/>
        <cfvo type="num" val="0"/>
        <cfvo type="max"/>
        <color rgb="FFF8696B"/>
        <color rgb="FFFFEB84"/>
        <color rgb="FF63BE7B"/>
      </colorScale>
    </cfRule>
  </conditionalFormatting>
  <dataValidations count="1">
    <dataValidation type="list" allowBlank="1" showInputMessage="1" showErrorMessage="1" sqref="O13:O29">
      <formula1>PROVEEDORES</formula1>
    </dataValidation>
  </dataValidations>
  <pageMargins left="0.70866141732283472" right="0.70866141732283472" top="0.74803149606299213" bottom="0.74803149606299213" header="0.31496062992125984" footer="0.31496062992125984"/>
  <pageSetup scale="36" orientation="landscape" r:id="rId1"/>
  <drawing r:id="rId2"/>
  <legacyDrawing r:id="rId3"/>
  <extLst>
    <ext xmlns:x14="http://schemas.microsoft.com/office/spreadsheetml/2009/9/main" uri="{78C0D931-6437-407d-A8EE-F0AAD7539E65}">
      <x14:conditionalFormattings>
        <x14:conditionalFormatting xmlns:xm="http://schemas.microsoft.com/office/excel/2006/main">
          <x14:cfRule type="iconSet" priority="2" id="{67B74C8E-7082-4068-AFDB-21D529561BEE}">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C13:F29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2</vt:i4>
      </vt:variant>
    </vt:vector>
  </HeadingPairs>
  <TitlesOfParts>
    <vt:vector size="6" baseType="lpstr">
      <vt:lpstr>PORTADA</vt:lpstr>
      <vt:lpstr>1360</vt:lpstr>
      <vt:lpstr>ACCESORIOS</vt:lpstr>
      <vt:lpstr>TORNILLERÍA</vt:lpstr>
      <vt:lpstr>PORTADA!Área_de_impresión</vt:lpstr>
      <vt:lpstr>PROVEEDORES</vt:lpstr>
    </vt:vector>
  </TitlesOfParts>
  <Company>kobolds03</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Kobolds03</dc:creator>
  <cp:lastModifiedBy>Juan Mario GN</cp:lastModifiedBy>
  <cp:lastPrinted>2020-04-20T19:21:16Z</cp:lastPrinted>
  <dcterms:created xsi:type="dcterms:W3CDTF">2012-05-11T20:16:14Z</dcterms:created>
  <dcterms:modified xsi:type="dcterms:W3CDTF">2021-12-08T21:30:14Z</dcterms:modified>
</cp:coreProperties>
</file>